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fly\Data Analysis\"/>
    </mc:Choice>
  </mc:AlternateContent>
  <xr:revisionPtr revIDLastSave="0" documentId="8_{8550D3B7-8576-4CEC-9E15-94BA0705B0FD}" xr6:coauthVersionLast="47" xr6:coauthVersionMax="47" xr10:uidLastSave="{00000000-0000-0000-0000-000000000000}"/>
  <bookViews>
    <workbookView xWindow="-108" yWindow="-108" windowWidth="23256" windowHeight="12456" activeTab="3" xr2:uid="{5166C010-F535-43A7-A9A2-EF30935B568C}"/>
  </bookViews>
  <sheets>
    <sheet name="Data - MidCap" sheetId="1" r:id="rId1"/>
    <sheet name="Range 100 to 1000" sheetId="3" r:id="rId2"/>
    <sheet name="Small Cap 100 to 1000" sheetId="4" r:id="rId3"/>
    <sheet name="Things to do" sheetId="5" r:id="rId4"/>
  </sheets>
  <calcPr calcId="0"/>
</workbook>
</file>

<file path=xl/calcChain.xml><?xml version="1.0" encoding="utf-8"?>
<calcChain xmlns="http://schemas.openxmlformats.org/spreadsheetml/2006/main">
  <c r="E17" i="5" l="1"/>
  <c r="D17" i="5"/>
</calcChain>
</file>

<file path=xl/sharedStrings.xml><?xml version="1.0" encoding="utf-8"?>
<sst xmlns="http://schemas.openxmlformats.org/spreadsheetml/2006/main" count="569" uniqueCount="485">
  <si>
    <t>SYMBOL</t>
  </si>
  <si>
    <t>PREV. CLOSE</t>
  </si>
  <si>
    <t>VOLUME (shares)</t>
  </si>
  <si>
    <t>VALUE (₹ Crores)</t>
  </si>
  <si>
    <t>30 D %CHNG</t>
  </si>
  <si>
    <t>365 D %CHNG</t>
  </si>
  <si>
    <t>COFORGE</t>
  </si>
  <si>
    <t>BSE</t>
  </si>
  <si>
    <t>PAYTM</t>
  </si>
  <si>
    <t>IDEA</t>
  </si>
  <si>
    <t>MCX</t>
  </si>
  <si>
    <t>SWIGGY</t>
  </si>
  <si>
    <t>GVT&amp;D</t>
  </si>
  <si>
    <t>DIXON</t>
  </si>
  <si>
    <t>LENSKART</t>
  </si>
  <si>
    <t>JSL</t>
  </si>
  <si>
    <t>KALYANKJIL</t>
  </si>
  <si>
    <t>BIOCON</t>
  </si>
  <si>
    <t>GROWW</t>
  </si>
  <si>
    <t>BHEL</t>
  </si>
  <si>
    <t>KEI</t>
  </si>
  <si>
    <t>LAURUSLABS</t>
  </si>
  <si>
    <t>NATIONALUM</t>
  </si>
  <si>
    <t>PERSISTENT</t>
  </si>
  <si>
    <t>POWERINDIA</t>
  </si>
  <si>
    <t>HEROMOTOCO</t>
  </si>
  <si>
    <t>SAIL</t>
  </si>
  <si>
    <t>SUZLON</t>
  </si>
  <si>
    <t>LICI</t>
  </si>
  <si>
    <t>NIACL</t>
  </si>
  <si>
    <t>POLICYBZR</t>
  </si>
  <si>
    <t>HINDPETRO</t>
  </si>
  <si>
    <t>MARICO</t>
  </si>
  <si>
    <t>COCHINSHIP</t>
  </si>
  <si>
    <t>APARINDS</t>
  </si>
  <si>
    <t>OFSS</t>
  </si>
  <si>
    <t>JSWINFRA</t>
  </si>
  <si>
    <t>IDFCFIRSTB</t>
  </si>
  <si>
    <t>POLYCAB</t>
  </si>
  <si>
    <t>BDL</t>
  </si>
  <si>
    <t>NAUKRI</t>
  </si>
  <si>
    <t>SBICARD</t>
  </si>
  <si>
    <t>LICHSGFIN</t>
  </si>
  <si>
    <t>ICICIGI</t>
  </si>
  <si>
    <t>AUBANK</t>
  </si>
  <si>
    <t>NYKAA</t>
  </si>
  <si>
    <t>NHPC</t>
  </si>
  <si>
    <t>NLCINDIA</t>
  </si>
  <si>
    <t>FEDERALBNK</t>
  </si>
  <si>
    <t>INDIANB</t>
  </si>
  <si>
    <t>LUPIN</t>
  </si>
  <si>
    <t>OIL</t>
  </si>
  <si>
    <t>NMDC</t>
  </si>
  <si>
    <t>ASHOKLEY</t>
  </si>
  <si>
    <t>MFSL</t>
  </si>
  <si>
    <t>GMRAIRPORT</t>
  </si>
  <si>
    <t>JSWENERGY</t>
  </si>
  <si>
    <t>ASTRAL</t>
  </si>
  <si>
    <t>BALKRISIND</t>
  </si>
  <si>
    <t>BLUESTARCO</t>
  </si>
  <si>
    <t>ICICIAMC</t>
  </si>
  <si>
    <t>BHARATFORG</t>
  </si>
  <si>
    <t>GLENMARK</t>
  </si>
  <si>
    <t>GODREJPROP</t>
  </si>
  <si>
    <t>AUROPHARMA</t>
  </si>
  <si>
    <t>UPL</t>
  </si>
  <si>
    <t>INDUSINDBK</t>
  </si>
  <si>
    <t>MAHABANK</t>
  </si>
  <si>
    <t>360ONE</t>
  </si>
  <si>
    <t>RADICO</t>
  </si>
  <si>
    <t>COLPAL</t>
  </si>
  <si>
    <t>LTF</t>
  </si>
  <si>
    <t>M&amp;MFIN</t>
  </si>
  <si>
    <t>DABUR</t>
  </si>
  <si>
    <t>ANTHEM</t>
  </si>
  <si>
    <t>EXIDEIND</t>
  </si>
  <si>
    <t>YESBANK</t>
  </si>
  <si>
    <t>BANKINDIA</t>
  </si>
  <si>
    <t>ABCAPITAL</t>
  </si>
  <si>
    <t>TATAELXSI</t>
  </si>
  <si>
    <t>MEDANTA</t>
  </si>
  <si>
    <t>PRESTIGE</t>
  </si>
  <si>
    <t>WAAREEENER</t>
  </si>
  <si>
    <t>VMM</t>
  </si>
  <si>
    <t>NAM-INDIA</t>
  </si>
  <si>
    <t>HAVELLS</t>
  </si>
  <si>
    <t>MPHASIS</t>
  </si>
  <si>
    <t>RVNL</t>
  </si>
  <si>
    <t>INDUSTOWER</t>
  </si>
  <si>
    <t>KPITTECH</t>
  </si>
  <si>
    <t>TORNTPOWER</t>
  </si>
  <si>
    <t>TIINDIA</t>
  </si>
  <si>
    <t>FORTIS</t>
  </si>
  <si>
    <t>MANKIND</t>
  </si>
  <si>
    <t>APLAPOLLO</t>
  </si>
  <si>
    <t>PREMIERENE</t>
  </si>
  <si>
    <t>PHOENIXLTD</t>
  </si>
  <si>
    <t>FLUOROCHEM</t>
  </si>
  <si>
    <t>ALKEM</t>
  </si>
  <si>
    <t>VOLTAS</t>
  </si>
  <si>
    <t>PAGEIND</t>
  </si>
  <si>
    <t>CONCOR</t>
  </si>
  <si>
    <t>ATGL</t>
  </si>
  <si>
    <t>THERMAX</t>
  </si>
  <si>
    <t>MOTILALOFS</t>
  </si>
  <si>
    <t>LGEINDIA</t>
  </si>
  <si>
    <t>UNOMINDA</t>
  </si>
  <si>
    <t>ICICIPRULI</t>
  </si>
  <si>
    <t>GICRE</t>
  </si>
  <si>
    <t>OBEROIRLTY</t>
  </si>
  <si>
    <t>TATACOMM</t>
  </si>
  <si>
    <t>GODFRYPHLP</t>
  </si>
  <si>
    <t>MRF</t>
  </si>
  <si>
    <t>SJVN</t>
  </si>
  <si>
    <t>SUPREMEIND</t>
  </si>
  <si>
    <t>LLOYDSME</t>
  </si>
  <si>
    <t>JUBLFOOD</t>
  </si>
  <si>
    <t>PATANJALI</t>
  </si>
  <si>
    <t>ENDURANCE</t>
  </si>
  <si>
    <t>PETRONET</t>
  </si>
  <si>
    <t>IRCTC</t>
  </si>
  <si>
    <t>SCHAEFFLER</t>
  </si>
  <si>
    <t>AWL</t>
  </si>
  <si>
    <t>LINDEINDIA</t>
  </si>
  <si>
    <t>HDBFS</t>
  </si>
  <si>
    <t>IREDA</t>
  </si>
  <si>
    <t>KPRMILL</t>
  </si>
  <si>
    <t>ITCHOTELS</t>
  </si>
  <si>
    <t>IPCALAB</t>
  </si>
  <si>
    <t>UBL</t>
  </si>
  <si>
    <t>PIIND</t>
  </si>
  <si>
    <t>NTPCGREEN</t>
  </si>
  <si>
    <t>APOLLOTYRE</t>
  </si>
  <si>
    <t>HUDCO</t>
  </si>
  <si>
    <t>BERGEPAINT</t>
  </si>
  <si>
    <t>LTTS</t>
  </si>
  <si>
    <t>SRF</t>
  </si>
  <si>
    <t>JKCEMENT</t>
  </si>
  <si>
    <t>COROMANDEL</t>
  </si>
  <si>
    <t>ACC</t>
  </si>
  <si>
    <t>ABBOTINDIA</t>
  </si>
  <si>
    <t>BAJAJHFL</t>
  </si>
  <si>
    <t>AJANTPHARM</t>
  </si>
  <si>
    <t>HONAUT</t>
  </si>
  <si>
    <t>SUNDARMFIN</t>
  </si>
  <si>
    <t>BHARTIHEXA</t>
  </si>
  <si>
    <t>ESCORTS</t>
  </si>
  <si>
    <t>GLAXO</t>
  </si>
  <si>
    <t>TATAINVEST</t>
  </si>
  <si>
    <t>CRISIL</t>
  </si>
  <si>
    <t>AIAENG</t>
  </si>
  <si>
    <t>HEXT</t>
  </si>
  <si>
    <t>DALBHARAT</t>
  </si>
  <si>
    <t>AIIL</t>
  </si>
  <si>
    <t>GODREJIND</t>
  </si>
  <si>
    <t>3MINDIA</t>
  </si>
  <si>
    <t>DBREALTY</t>
  </si>
  <si>
    <t>LEMONTREE</t>
  </si>
  <si>
    <t>THOMASCOOK</t>
  </si>
  <si>
    <t>PRSMJOHNSN</t>
  </si>
  <si>
    <t>RCF</t>
  </si>
  <si>
    <t>ASHOKA</t>
  </si>
  <si>
    <t>REDTAPE</t>
  </si>
  <si>
    <t>IEX</t>
  </si>
  <si>
    <t>IRCON</t>
  </si>
  <si>
    <t>TEXRAIL</t>
  </si>
  <si>
    <t>KNRCON</t>
  </si>
  <si>
    <t>JSWCEMENT</t>
  </si>
  <si>
    <t>HEMIPROP</t>
  </si>
  <si>
    <t>ORIENTCEM</t>
  </si>
  <si>
    <t>PWL</t>
  </si>
  <si>
    <t>TVSSCS</t>
  </si>
  <si>
    <t>JMFINANCIL</t>
  </si>
  <si>
    <t>JAMNAAUTO</t>
  </si>
  <si>
    <t>TARC</t>
  </si>
  <si>
    <t>DEVYANI</t>
  </si>
  <si>
    <t>EDELWEISS</t>
  </si>
  <si>
    <t>CESC</t>
  </si>
  <si>
    <t>J&amp;KBANK</t>
  </si>
  <si>
    <t>NCC</t>
  </si>
  <si>
    <t>SAMMAANCAP</t>
  </si>
  <si>
    <t>WAKEFIT</t>
  </si>
  <si>
    <t>IGL</t>
  </si>
  <si>
    <t>CANHLIFE</t>
  </si>
  <si>
    <t>PTC</t>
  </si>
  <si>
    <t>SAMHI</t>
  </si>
  <si>
    <t>FINPIPE</t>
  </si>
  <si>
    <t>PARADEEP</t>
  </si>
  <si>
    <t>GPPL</t>
  </si>
  <si>
    <t>GSFC</t>
  </si>
  <si>
    <t>FEDFINA</t>
  </si>
  <si>
    <t>GAEL</t>
  </si>
  <si>
    <t>VIKRAMSOLR</t>
  </si>
  <si>
    <t>PINELABS</t>
  </si>
  <si>
    <t>IXIGO</t>
  </si>
  <si>
    <t>BANDHANBNK</t>
  </si>
  <si>
    <t>URBANCO</t>
  </si>
  <si>
    <t>MRPL</t>
  </si>
  <si>
    <t>INOXGREEN</t>
  </si>
  <si>
    <t>FIRSTCRY</t>
  </si>
  <si>
    <t>PNCINFRA</t>
  </si>
  <si>
    <t>ZAGGLE</t>
  </si>
  <si>
    <t>SWSOLAR</t>
  </si>
  <si>
    <t>LXCHEM</t>
  </si>
  <si>
    <t>EMIL</t>
  </si>
  <si>
    <t>TIMETECHNO</t>
  </si>
  <si>
    <t>CASTROLIND</t>
  </si>
  <si>
    <t>GREAVESCOT</t>
  </si>
  <si>
    <t>KANSAINER</t>
  </si>
  <si>
    <t>JYOTHYLAB</t>
  </si>
  <si>
    <t>STARCEMENT</t>
  </si>
  <si>
    <t>SANDUMA</t>
  </si>
  <si>
    <t>LOTUSDEV</t>
  </si>
  <si>
    <t>SPARC</t>
  </si>
  <si>
    <t>RALLIS</t>
  </si>
  <si>
    <t>WELSPUNLIV</t>
  </si>
  <si>
    <t>MEESHO</t>
  </si>
  <si>
    <t>RITES</t>
  </si>
  <si>
    <t>VAIBHAVGBL</t>
  </si>
  <si>
    <t>SURYAROSNI</t>
  </si>
  <si>
    <t>PURVA</t>
  </si>
  <si>
    <t>CAMPUS</t>
  </si>
  <si>
    <t>RAIN</t>
  </si>
  <si>
    <t>V2RETAIL</t>
  </si>
  <si>
    <t>SAPPHIRE</t>
  </si>
  <si>
    <t>PPLPHARMA</t>
  </si>
  <si>
    <t>BELRISE</t>
  </si>
  <si>
    <t>DCBBANK</t>
  </si>
  <si>
    <t>BECTORFOOD</t>
  </si>
  <si>
    <t>CROMPTON</t>
  </si>
  <si>
    <t>AEQUS</t>
  </si>
  <si>
    <t>CUB</t>
  </si>
  <si>
    <t>GOKULAGRO</t>
  </si>
  <si>
    <t>CMSINFO</t>
  </si>
  <si>
    <t>BLS</t>
  </si>
  <si>
    <t>CRAMC</t>
  </si>
  <si>
    <t>JWL</t>
  </si>
  <si>
    <t>GPIL</t>
  </si>
  <si>
    <t>RSYSTEMS</t>
  </si>
  <si>
    <t>EPL</t>
  </si>
  <si>
    <t>HFCL</t>
  </si>
  <si>
    <t>MOIL</t>
  </si>
  <si>
    <t>AWFIS</t>
  </si>
  <si>
    <t>RELIGARE</t>
  </si>
  <si>
    <t>APTUS</t>
  </si>
  <si>
    <t>FSL</t>
  </si>
  <si>
    <t>LATENTVIEW</t>
  </si>
  <si>
    <t>HEG</t>
  </si>
  <si>
    <t>GODIGIT</t>
  </si>
  <si>
    <t>VIYASH</t>
  </si>
  <si>
    <t>RAILTEL</t>
  </si>
  <si>
    <t>ITI</t>
  </si>
  <si>
    <t>CGCL</t>
  </si>
  <si>
    <t>TRIVENI</t>
  </si>
  <si>
    <t>SONATSOFTW</t>
  </si>
  <si>
    <t>CUPID</t>
  </si>
  <si>
    <t>OSWALPUMPS</t>
  </si>
  <si>
    <t>REFEX</t>
  </si>
  <si>
    <t>SWANCORP</t>
  </si>
  <si>
    <t>ENGINERSIN</t>
  </si>
  <si>
    <t>AFCONS</t>
  </si>
  <si>
    <t>BSOFT</t>
  </si>
  <si>
    <t>JLHL</t>
  </si>
  <si>
    <t>INDIAGLYCO</t>
  </si>
  <si>
    <t>SCI</t>
  </si>
  <si>
    <t>AEGISVOPAK</t>
  </si>
  <si>
    <t>KPIGREEN</t>
  </si>
  <si>
    <t>EIHOTEL</t>
  </si>
  <si>
    <t>SUNTECK</t>
  </si>
  <si>
    <t>JAINREC</t>
  </si>
  <si>
    <t>TARIL</t>
  </si>
  <si>
    <t>ANGELONE</t>
  </si>
  <si>
    <t>ADVENZYMES</t>
  </si>
  <si>
    <t>JINDALSAW</t>
  </si>
  <si>
    <t>VIPIND</t>
  </si>
  <si>
    <t>CSBBANK</t>
  </si>
  <si>
    <t>PFOCUS</t>
  </si>
  <si>
    <t>IGIL</t>
  </si>
  <si>
    <t>ELLEN</t>
  </si>
  <si>
    <t>MANAPPURAM</t>
  </si>
  <si>
    <t>PCBL</t>
  </si>
  <si>
    <t>VGUARD</t>
  </si>
  <si>
    <t>EMMVEE</t>
  </si>
  <si>
    <t>RELAXO</t>
  </si>
  <si>
    <t>KTKBANK</t>
  </si>
  <si>
    <t>MARKSANS</t>
  </si>
  <si>
    <t>DIACABS</t>
  </si>
  <si>
    <t>QUESS</t>
  </si>
  <si>
    <t>PRAJIND</t>
  </si>
  <si>
    <t>IIFLCAPS</t>
  </si>
  <si>
    <t>NUVOCO</t>
  </si>
  <si>
    <t>BAJAJELEC</t>
  </si>
  <si>
    <t>KARURVYSYA</t>
  </si>
  <si>
    <t>CELLO</t>
  </si>
  <si>
    <t>HAPPSTMNDS</t>
  </si>
  <si>
    <t>INDIACEM</t>
  </si>
  <si>
    <t>SENCO</t>
  </si>
  <si>
    <t>EMAMILTD</t>
  </si>
  <si>
    <t>JKTYRE</t>
  </si>
  <si>
    <t>NAZARA</t>
  </si>
  <si>
    <t>RHIM</t>
  </si>
  <si>
    <t>REDINGTON</t>
  </si>
  <si>
    <t>HERITGFOOD</t>
  </si>
  <si>
    <t>CIEINDIA</t>
  </si>
  <si>
    <t>SYNGENE</t>
  </si>
  <si>
    <t>DBL</t>
  </si>
  <si>
    <t>KEC</t>
  </si>
  <si>
    <t>EUREKAFORB</t>
  </si>
  <si>
    <t>ACMESOLAR</t>
  </si>
  <si>
    <t>JKPAPER</t>
  </si>
  <si>
    <t>SAATVIKGL</t>
  </si>
  <si>
    <t>APOLLO</t>
  </si>
  <si>
    <t>RBLBANK</t>
  </si>
  <si>
    <t>CHAMBLFERT</t>
  </si>
  <si>
    <t>TRANSRAILL</t>
  </si>
  <si>
    <t>ELECON</t>
  </si>
  <si>
    <t>AARTIDRUGS</t>
  </si>
  <si>
    <t>TSFINV</t>
  </si>
  <si>
    <t>KRBL</t>
  </si>
  <si>
    <t>IONEXCHANG</t>
  </si>
  <si>
    <t>GHCL</t>
  </si>
  <si>
    <t>UTLSOLAR</t>
  </si>
  <si>
    <t>ARVINDFASN</t>
  </si>
  <si>
    <t>ZENSARTECH</t>
  </si>
  <si>
    <t>ICIL</t>
  </si>
  <si>
    <t>COHANCE</t>
  </si>
  <si>
    <t>SUNTV</t>
  </si>
  <si>
    <t>DELHIVERY</t>
  </si>
  <si>
    <t>POONAWALLA</t>
  </si>
  <si>
    <t>LTFOODS</t>
  </si>
  <si>
    <t>CAPILLARY</t>
  </si>
  <si>
    <t>SHAKTIPUMP</t>
  </si>
  <si>
    <t>HONASA</t>
  </si>
  <si>
    <t>MIDHANI</t>
  </si>
  <si>
    <t>AADHARHFC</t>
  </si>
  <si>
    <t>HGINFRA</t>
  </si>
  <si>
    <t>ACI</t>
  </si>
  <si>
    <t>SUMICHEM</t>
  </si>
  <si>
    <t>SAREGAMA</t>
  </si>
  <si>
    <t>JKLAKSHMI</t>
  </si>
  <si>
    <t>USHAMART</t>
  </si>
  <si>
    <t>ROUTE</t>
  </si>
  <si>
    <t>BORORENEW</t>
  </si>
  <si>
    <t>AARTIIND</t>
  </si>
  <si>
    <t>JSLL</t>
  </si>
  <si>
    <t>TANLA</t>
  </si>
  <si>
    <t>NEWGEN</t>
  </si>
  <si>
    <t>AGARWALEYE</t>
  </si>
  <si>
    <t>SARDAEN</t>
  </si>
  <si>
    <t>FIVESTAR</t>
  </si>
  <si>
    <t>TENNIND</t>
  </si>
  <si>
    <t>HINDCOPPER</t>
  </si>
  <si>
    <t>WESTLIFE</t>
  </si>
  <si>
    <t>JSFB</t>
  </si>
  <si>
    <t>TI</t>
  </si>
  <si>
    <t>BALUFORGE</t>
  </si>
  <si>
    <t>THELEELA</t>
  </si>
  <si>
    <t>ASHAPURMIN</t>
  </si>
  <si>
    <t>SMARTWORKS</t>
  </si>
  <si>
    <t>PGEL</t>
  </si>
  <si>
    <t>NAVA</t>
  </si>
  <si>
    <t>OPTIEMUS</t>
  </si>
  <si>
    <t>ZYDUSWELL</t>
  </si>
  <si>
    <t>GALLANTT</t>
  </si>
  <si>
    <t>GMDCLTD</t>
  </si>
  <si>
    <t>THYROCARE</t>
  </si>
  <si>
    <t>STARHEALTH</t>
  </si>
  <si>
    <t>BLACKBUCK</t>
  </si>
  <si>
    <t>MANYAVAR</t>
  </si>
  <si>
    <t>TRITURBINE</t>
  </si>
  <si>
    <t>ARVIND</t>
  </si>
  <si>
    <t>BLUEJET</t>
  </si>
  <si>
    <t>METROPOLIS</t>
  </si>
  <si>
    <t>RAYMONDREL</t>
  </si>
  <si>
    <t>BIKAJI</t>
  </si>
  <si>
    <t>VTL</t>
  </si>
  <si>
    <t>GNFC</t>
  </si>
  <si>
    <t>INDGN</t>
  </si>
  <si>
    <t>ORKLAINDIA</t>
  </si>
  <si>
    <t>TEJASNET</t>
  </si>
  <si>
    <t>ABDL</t>
  </si>
  <si>
    <t>SKIPPER</t>
  </si>
  <si>
    <t>AHLUCONT</t>
  </si>
  <si>
    <t>TATACHEM</t>
  </si>
  <si>
    <t>PICCADIL</t>
  </si>
  <si>
    <t>ASKAUTOLTD</t>
  </si>
  <si>
    <t>AVL</t>
  </si>
  <si>
    <t>JBMA</t>
  </si>
  <si>
    <t>ANANTRAJ</t>
  </si>
  <si>
    <t>PNGJL</t>
  </si>
  <si>
    <t>IIFL</t>
  </si>
  <si>
    <t>BANCOINDIA</t>
  </si>
  <si>
    <t>ELGIEQUIP</t>
  </si>
  <si>
    <t>TIPSMUSIC</t>
  </si>
  <si>
    <t>MEDPLUS</t>
  </si>
  <si>
    <t>BATAINDIA</t>
  </si>
  <si>
    <t>WEWORK</t>
  </si>
  <si>
    <t>HSCL</t>
  </si>
  <si>
    <t>INDIASHLTR</t>
  </si>
  <si>
    <t>AURIONPRO</t>
  </si>
  <si>
    <t>GODREJAGRO</t>
  </si>
  <si>
    <t>JUBLINGREA</t>
  </si>
  <si>
    <t>SFL</t>
  </si>
  <si>
    <t>MAHSEAMLES</t>
  </si>
  <si>
    <t>BRIGADE</t>
  </si>
  <si>
    <t>HCG</t>
  </si>
  <si>
    <t>INTELLECT</t>
  </si>
  <si>
    <t>JUSTDIAL</t>
  </si>
  <si>
    <t>RAYMONDLSL</t>
  </si>
  <si>
    <t>SUBROS</t>
  </si>
  <si>
    <t>RKFORGE</t>
  </si>
  <si>
    <t>MINDACORP</t>
  </si>
  <si>
    <t>BALRAMCHIN</t>
  </si>
  <si>
    <t>KSCL</t>
  </si>
  <si>
    <t>CAMS</t>
  </si>
  <si>
    <t>HBLENGINE</t>
  </si>
  <si>
    <t>GRAPHITE</t>
  </si>
  <si>
    <t>AKUMS</t>
  </si>
  <si>
    <t>DATAMATICS</t>
  </si>
  <si>
    <t>CENTURYPLY</t>
  </si>
  <si>
    <t>KIRLPNU</t>
  </si>
  <si>
    <t>CHOICEIN</t>
  </si>
  <si>
    <t>PRICOLLTD</t>
  </si>
  <si>
    <t>EIDPARRY</t>
  </si>
  <si>
    <t>KIMS</t>
  </si>
  <si>
    <t>TDPOWERSYS</t>
  </si>
  <si>
    <t>BBOX</t>
  </si>
  <si>
    <t>MSTCLTD</t>
  </si>
  <si>
    <t>GOKEX</t>
  </si>
  <si>
    <t>SIGNATURE</t>
  </si>
  <si>
    <t>WELENT</t>
  </si>
  <si>
    <t>ASTERDM</t>
  </si>
  <si>
    <t>FACT</t>
  </si>
  <si>
    <t>SHARDACROP</t>
  </si>
  <si>
    <t>CANFINHOME</t>
  </si>
  <si>
    <t>TATATECH</t>
  </si>
  <si>
    <t>SONACOMS</t>
  </si>
  <si>
    <t>WHIRLPOOL</t>
  </si>
  <si>
    <t>APLLTD</t>
  </si>
  <si>
    <t>KSB</t>
  </si>
  <si>
    <t>VMART</t>
  </si>
  <si>
    <t>STLTECH</t>
  </si>
  <si>
    <t>NATCOPHARM</t>
  </si>
  <si>
    <t>SPLPETRO</t>
  </si>
  <si>
    <t>CLEAN</t>
  </si>
  <si>
    <t>AVANTIFEED</t>
  </si>
  <si>
    <t>ARE&amp;M</t>
  </si>
  <si>
    <t>WAAREERTL</t>
  </si>
  <si>
    <t>VARROC</t>
  </si>
  <si>
    <t>BIRLACORPN</t>
  </si>
  <si>
    <t>RAYMOND</t>
  </si>
  <si>
    <t>RATEGAIN</t>
  </si>
  <si>
    <t>AARTIPHARM</t>
  </si>
  <si>
    <t>BLUESTONE</t>
  </si>
  <si>
    <t>RAMCOCEM</t>
  </si>
  <si>
    <t>TITAGARH</t>
  </si>
  <si>
    <t>GRANULES</t>
  </si>
  <si>
    <t>CHALET</t>
  </si>
  <si>
    <t>UTIAMC</t>
  </si>
  <si>
    <t>SUPRIYA</t>
  </si>
  <si>
    <t>KFINTECH</t>
  </si>
  <si>
    <t>TMB</t>
  </si>
  <si>
    <t>METROBRAND</t>
  </si>
  <si>
    <t>ASAHIINDIA</t>
  </si>
  <si>
    <t>SHILPAMED</t>
  </si>
  <si>
    <t>TECHNOE</t>
  </si>
  <si>
    <t>MAPMYINDIA</t>
  </si>
  <si>
    <t>YATHARTH</t>
  </si>
  <si>
    <t>JUBLPHARMA</t>
  </si>
  <si>
    <t>Things to do</t>
  </si>
  <si>
    <t>1. Identify Industry</t>
  </si>
  <si>
    <t>2. Volatality</t>
  </si>
  <si>
    <t>3. Spread</t>
  </si>
  <si>
    <t>4. Volume</t>
  </si>
  <si>
    <t>5. ATR</t>
  </si>
  <si>
    <t>6. Institutional Activity</t>
  </si>
  <si>
    <t>7. Trend Index</t>
  </si>
  <si>
    <t xml:space="preserve">Time Stamp Data </t>
  </si>
  <si>
    <t xml:space="preserve">Market Depth </t>
  </si>
  <si>
    <t xml:space="preserve"> Morning Session</t>
  </si>
  <si>
    <t>Miday Session</t>
  </si>
  <si>
    <t>Closimg Session</t>
  </si>
  <si>
    <t>Live data need to fetech</t>
  </si>
  <si>
    <t>Historical Data last 6 months</t>
  </si>
  <si>
    <t>Historical data last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</si>
</sst>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" fontId="0" fillId="0" borderId="0" xfId="0" applyNumberFormat="1"/>
    <xf numFmtId="0" fontId="16" fillId="0" borderId="10" xfId="0" applyFont="1" applyBorder="1"/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 vertical="center" wrapText="1"/>
    </xf>
    <xf numFmtId="0" fontId="0" fillId="0" borderId="10" xfId="0" applyBorder="1"/>
    <xf numFmtId="20" fontId="0" fillId="0" borderId="0" xfId="0" applyNumberFormat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9E58-EBA7-4344-865B-9E365202D4D4}">
  <dimension ref="B2:G152"/>
  <sheetViews>
    <sheetView showGridLines="0" workbookViewId="0">
      <selection activeCell="I26" sqref="I26"/>
    </sheetView>
  </sheetViews>
  <sheetFormatPr defaultRowHeight="14.4" x14ac:dyDescent="0.3"/>
  <cols>
    <col min="2" max="2" width="16.44140625" bestFit="1" customWidth="1"/>
    <col min="4" max="4" width="15.21875" bestFit="1" customWidth="1"/>
    <col min="5" max="5" width="14.88671875" bestFit="1" customWidth="1"/>
    <col min="6" max="6" width="11.44140625" bestFit="1" customWidth="1"/>
    <col min="7" max="7" width="12.44140625" bestFit="1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3">
      <c r="B3" t="s">
        <v>9</v>
      </c>
      <c r="C3">
        <v>15.42</v>
      </c>
      <c r="D3">
        <v>539161681</v>
      </c>
      <c r="E3">
        <v>837.32</v>
      </c>
      <c r="F3">
        <v>21.92</v>
      </c>
      <c r="G3">
        <v>113.48</v>
      </c>
    </row>
    <row r="4" spans="2:7" x14ac:dyDescent="0.3">
      <c r="B4" t="s">
        <v>76</v>
      </c>
      <c r="C4">
        <v>22.52</v>
      </c>
      <c r="D4">
        <v>38540281</v>
      </c>
      <c r="E4">
        <v>86.64</v>
      </c>
      <c r="F4">
        <v>-1.19</v>
      </c>
      <c r="G4">
        <v>10.23</v>
      </c>
    </row>
    <row r="5" spans="2:7" x14ac:dyDescent="0.3">
      <c r="B5" t="s">
        <v>27</v>
      </c>
      <c r="C5">
        <v>45.5</v>
      </c>
      <c r="D5">
        <v>52512738</v>
      </c>
      <c r="E5">
        <v>240.61</v>
      </c>
      <c r="F5">
        <v>-5.61</v>
      </c>
      <c r="G5">
        <v>-20.350000000000001</v>
      </c>
    </row>
    <row r="6" spans="2:7" x14ac:dyDescent="0.3">
      <c r="B6" t="s">
        <v>113</v>
      </c>
      <c r="C6">
        <v>65.87</v>
      </c>
      <c r="D6">
        <v>5367026</v>
      </c>
      <c r="E6">
        <v>36.11</v>
      </c>
      <c r="F6">
        <v>-1.65</v>
      </c>
      <c r="G6">
        <v>-27.75</v>
      </c>
    </row>
    <row r="7" spans="2:7" x14ac:dyDescent="0.3">
      <c r="B7" t="s">
        <v>46</v>
      </c>
      <c r="C7">
        <v>75.900000000000006</v>
      </c>
      <c r="D7">
        <v>17730521</v>
      </c>
      <c r="E7">
        <v>136.4</v>
      </c>
      <c r="F7">
        <v>-0.3</v>
      </c>
      <c r="G7">
        <v>-2.39</v>
      </c>
    </row>
    <row r="8" spans="2:7" x14ac:dyDescent="0.3">
      <c r="B8" t="s">
        <v>141</v>
      </c>
      <c r="C8">
        <v>84.01</v>
      </c>
      <c r="D8">
        <v>1812516</v>
      </c>
      <c r="E8">
        <v>15.07</v>
      </c>
      <c r="F8">
        <v>-3.31</v>
      </c>
      <c r="G8">
        <v>-25.83</v>
      </c>
    </row>
    <row r="9" spans="2:7" x14ac:dyDescent="0.3">
      <c r="B9" t="s">
        <v>52</v>
      </c>
      <c r="C9">
        <v>84.71</v>
      </c>
      <c r="D9">
        <v>14151248</v>
      </c>
      <c r="E9">
        <v>120.72</v>
      </c>
      <c r="F9">
        <v>1.04</v>
      </c>
      <c r="G9">
        <v>14.92</v>
      </c>
    </row>
    <row r="10" spans="2:7" x14ac:dyDescent="0.3">
      <c r="B10" t="s">
        <v>67</v>
      </c>
      <c r="C10">
        <v>84.79</v>
      </c>
      <c r="D10">
        <v>11713367</v>
      </c>
      <c r="E10">
        <v>98.61</v>
      </c>
      <c r="F10">
        <v>8.02</v>
      </c>
      <c r="G10">
        <v>61.4</v>
      </c>
    </row>
    <row r="11" spans="2:7" x14ac:dyDescent="0.3">
      <c r="B11" t="s">
        <v>37</v>
      </c>
      <c r="C11">
        <v>86.5</v>
      </c>
      <c r="D11">
        <v>20235616</v>
      </c>
      <c r="E11">
        <v>174.86</v>
      </c>
      <c r="F11">
        <v>1.63</v>
      </c>
      <c r="G11">
        <v>16.96</v>
      </c>
    </row>
    <row r="12" spans="2:7" x14ac:dyDescent="0.3">
      <c r="B12" t="s">
        <v>131</v>
      </c>
      <c r="C12">
        <v>88.44</v>
      </c>
      <c r="D12">
        <v>2698297</v>
      </c>
      <c r="E12">
        <v>23.88</v>
      </c>
      <c r="F12">
        <v>-3.78</v>
      </c>
      <c r="G12">
        <v>-14.65</v>
      </c>
    </row>
    <row r="13" spans="2:7" x14ac:dyDescent="0.3">
      <c r="B13" t="s">
        <v>55</v>
      </c>
      <c r="C13">
        <v>97</v>
      </c>
      <c r="D13">
        <v>11994804</v>
      </c>
      <c r="E13">
        <v>117.32</v>
      </c>
      <c r="F13">
        <v>-7.98</v>
      </c>
      <c r="G13">
        <v>13.63</v>
      </c>
    </row>
    <row r="14" spans="2:7" x14ac:dyDescent="0.3">
      <c r="B14" t="s">
        <v>83</v>
      </c>
      <c r="C14">
        <v>103.9</v>
      </c>
      <c r="D14">
        <v>6949596</v>
      </c>
      <c r="E14">
        <v>71.66</v>
      </c>
      <c r="F14">
        <v>-5.0999999999999996</v>
      </c>
      <c r="G14">
        <v>-32.64</v>
      </c>
    </row>
    <row r="15" spans="2:7" x14ac:dyDescent="0.3">
      <c r="B15" t="s">
        <v>125</v>
      </c>
      <c r="C15">
        <v>112.2</v>
      </c>
      <c r="D15">
        <v>2500536</v>
      </c>
      <c r="E15">
        <v>28.03</v>
      </c>
      <c r="F15">
        <v>-6.52</v>
      </c>
      <c r="G15">
        <v>-22.81</v>
      </c>
    </row>
    <row r="16" spans="2:7" x14ac:dyDescent="0.3">
      <c r="B16" t="s">
        <v>77</v>
      </c>
      <c r="C16">
        <v>140.86000000000001</v>
      </c>
      <c r="D16">
        <v>6061098</v>
      </c>
      <c r="E16">
        <v>85.57</v>
      </c>
      <c r="F16">
        <v>-2.72</v>
      </c>
      <c r="G16">
        <v>25.09</v>
      </c>
    </row>
    <row r="17" spans="2:7" x14ac:dyDescent="0.3">
      <c r="B17" t="s">
        <v>127</v>
      </c>
      <c r="C17">
        <v>156.84</v>
      </c>
      <c r="D17">
        <v>1636514</v>
      </c>
      <c r="E17">
        <v>25.51</v>
      </c>
      <c r="F17">
        <v>-8.8800000000000008</v>
      </c>
      <c r="G17">
        <v>-36.340000000000003</v>
      </c>
    </row>
    <row r="18" spans="2:7" x14ac:dyDescent="0.3">
      <c r="B18" t="s">
        <v>53</v>
      </c>
      <c r="C18">
        <v>169</v>
      </c>
      <c r="D18">
        <v>7197614</v>
      </c>
      <c r="E18">
        <v>120.59</v>
      </c>
      <c r="F18">
        <v>-5.92</v>
      </c>
      <c r="G18">
        <v>23.65</v>
      </c>
    </row>
    <row r="19" spans="2:7" x14ac:dyDescent="0.3">
      <c r="B19" t="s">
        <v>133</v>
      </c>
      <c r="C19">
        <v>178.26</v>
      </c>
      <c r="D19">
        <v>1174950</v>
      </c>
      <c r="E19">
        <v>20.75</v>
      </c>
      <c r="F19">
        <v>-12.7</v>
      </c>
      <c r="G19">
        <v>-18.690000000000001</v>
      </c>
    </row>
    <row r="20" spans="2:7" x14ac:dyDescent="0.3">
      <c r="B20" t="s">
        <v>26</v>
      </c>
      <c r="C20">
        <v>186.1</v>
      </c>
      <c r="D20">
        <v>13768193</v>
      </c>
      <c r="E20">
        <v>258.11</v>
      </c>
      <c r="F20">
        <v>5.56</v>
      </c>
      <c r="G20">
        <v>43.99</v>
      </c>
    </row>
    <row r="21" spans="2:7" x14ac:dyDescent="0.3">
      <c r="B21" t="s">
        <v>122</v>
      </c>
      <c r="C21">
        <v>187.52</v>
      </c>
      <c r="D21">
        <v>1594754</v>
      </c>
      <c r="E21">
        <v>29.76</v>
      </c>
      <c r="F21">
        <v>-4.71</v>
      </c>
      <c r="G21">
        <v>-26.74</v>
      </c>
    </row>
    <row r="22" spans="2:7" x14ac:dyDescent="0.3">
      <c r="B22" t="s">
        <v>18</v>
      </c>
      <c r="C22">
        <v>195.24</v>
      </c>
      <c r="D22">
        <v>20798963</v>
      </c>
      <c r="E22">
        <v>403.38</v>
      </c>
      <c r="F22">
        <v>2.0699999999999998</v>
      </c>
      <c r="G22">
        <v>0</v>
      </c>
    </row>
    <row r="23" spans="2:7" x14ac:dyDescent="0.3">
      <c r="B23" t="s">
        <v>29</v>
      </c>
      <c r="C23">
        <v>205.22</v>
      </c>
      <c r="D23">
        <v>10799389</v>
      </c>
      <c r="E23">
        <v>221.84</v>
      </c>
      <c r="F23">
        <v>16.37</v>
      </c>
      <c r="G23">
        <v>7.85</v>
      </c>
    </row>
    <row r="24" spans="2:7" x14ac:dyDescent="0.3">
      <c r="B24" t="s">
        <v>87</v>
      </c>
      <c r="C24">
        <v>207.5</v>
      </c>
      <c r="D24">
        <v>3171906</v>
      </c>
      <c r="E24">
        <v>65.89</v>
      </c>
      <c r="F24">
        <v>-11.3</v>
      </c>
      <c r="G24">
        <v>-37.729999999999997</v>
      </c>
    </row>
    <row r="25" spans="2:7" x14ac:dyDescent="0.3">
      <c r="B25" t="s">
        <v>47</v>
      </c>
      <c r="C25">
        <v>272.25</v>
      </c>
      <c r="D25">
        <v>4901961</v>
      </c>
      <c r="E25">
        <v>135.03</v>
      </c>
      <c r="F25">
        <v>-10.78</v>
      </c>
      <c r="G25">
        <v>13.64</v>
      </c>
    </row>
    <row r="26" spans="2:7" x14ac:dyDescent="0.3">
      <c r="B26" t="s">
        <v>11</v>
      </c>
      <c r="C26">
        <v>275.7</v>
      </c>
      <c r="D26">
        <v>23545618</v>
      </c>
      <c r="E26">
        <v>658.05</v>
      </c>
      <c r="F26">
        <v>0.71</v>
      </c>
      <c r="G26">
        <v>-35.25</v>
      </c>
    </row>
    <row r="27" spans="2:7" x14ac:dyDescent="0.3">
      <c r="B27" t="s">
        <v>119</v>
      </c>
      <c r="C27">
        <v>285.8</v>
      </c>
      <c r="D27">
        <v>1133536</v>
      </c>
      <c r="E27">
        <v>32.549999999999997</v>
      </c>
      <c r="F27">
        <v>1.89</v>
      </c>
      <c r="G27">
        <v>4.6900000000000004</v>
      </c>
    </row>
    <row r="28" spans="2:7" x14ac:dyDescent="0.3">
      <c r="B28" t="s">
        <v>71</v>
      </c>
      <c r="C28">
        <v>308.3</v>
      </c>
      <c r="D28">
        <v>2989428</v>
      </c>
      <c r="E28">
        <v>93.09</v>
      </c>
      <c r="F28">
        <v>0.78</v>
      </c>
      <c r="G28">
        <v>32.67</v>
      </c>
    </row>
    <row r="29" spans="2:7" x14ac:dyDescent="0.3">
      <c r="B29" t="s">
        <v>36</v>
      </c>
      <c r="C29">
        <v>332</v>
      </c>
      <c r="D29">
        <v>5359382</v>
      </c>
      <c r="E29">
        <v>181.07</v>
      </c>
      <c r="F29">
        <v>1.68</v>
      </c>
      <c r="G29">
        <v>9.06</v>
      </c>
    </row>
    <row r="30" spans="2:7" x14ac:dyDescent="0.3">
      <c r="B30" t="s">
        <v>45</v>
      </c>
      <c r="C30">
        <v>341</v>
      </c>
      <c r="D30">
        <v>4010750</v>
      </c>
      <c r="E30">
        <v>136.77000000000001</v>
      </c>
      <c r="F30">
        <v>3.31</v>
      </c>
      <c r="G30">
        <v>42.03</v>
      </c>
    </row>
    <row r="31" spans="2:7" x14ac:dyDescent="0.3">
      <c r="B31" t="s">
        <v>117</v>
      </c>
      <c r="C31">
        <v>342</v>
      </c>
      <c r="D31">
        <v>967972</v>
      </c>
      <c r="E31">
        <v>32.869999999999997</v>
      </c>
      <c r="F31">
        <v>-4.62</v>
      </c>
      <c r="G31">
        <v>-43.23</v>
      </c>
    </row>
    <row r="32" spans="2:7" x14ac:dyDescent="0.3">
      <c r="B32" t="s">
        <v>48</v>
      </c>
      <c r="C32">
        <v>344.15</v>
      </c>
      <c r="D32">
        <v>3903520</v>
      </c>
      <c r="E32">
        <v>134.27000000000001</v>
      </c>
      <c r="F32">
        <v>-3.16</v>
      </c>
      <c r="G32">
        <v>80.03</v>
      </c>
    </row>
    <row r="33" spans="2:7" x14ac:dyDescent="0.3">
      <c r="B33" t="s">
        <v>31</v>
      </c>
      <c r="C33">
        <v>347</v>
      </c>
      <c r="D33">
        <v>5786455</v>
      </c>
      <c r="E33">
        <v>201.98</v>
      </c>
      <c r="F33">
        <v>-11.23</v>
      </c>
      <c r="G33">
        <v>-10.52</v>
      </c>
    </row>
    <row r="34" spans="2:7" x14ac:dyDescent="0.3">
      <c r="B34" t="s">
        <v>108</v>
      </c>
      <c r="C34">
        <v>348.1</v>
      </c>
      <c r="D34">
        <v>1164539</v>
      </c>
      <c r="E34">
        <v>40.72</v>
      </c>
      <c r="F34">
        <v>-2.38</v>
      </c>
      <c r="G34">
        <v>-4.71</v>
      </c>
    </row>
    <row r="35" spans="2:7" x14ac:dyDescent="0.3">
      <c r="B35" t="s">
        <v>22</v>
      </c>
      <c r="C35">
        <v>371.05</v>
      </c>
      <c r="D35">
        <v>9139475</v>
      </c>
      <c r="E35">
        <v>347.17</v>
      </c>
      <c r="F35">
        <v>-0.89</v>
      </c>
      <c r="G35">
        <v>82.75</v>
      </c>
    </row>
    <row r="36" spans="2:7" x14ac:dyDescent="0.3">
      <c r="B36" t="s">
        <v>88</v>
      </c>
      <c r="C36">
        <v>373.05</v>
      </c>
      <c r="D36">
        <v>1765333</v>
      </c>
      <c r="E36">
        <v>65.81</v>
      </c>
      <c r="F36">
        <v>-3.19</v>
      </c>
      <c r="G36">
        <v>7.73</v>
      </c>
    </row>
    <row r="37" spans="2:7" x14ac:dyDescent="0.3">
      <c r="B37" t="s">
        <v>72</v>
      </c>
      <c r="C37">
        <v>374.35</v>
      </c>
      <c r="D37">
        <v>2529271</v>
      </c>
      <c r="E37">
        <v>92.73</v>
      </c>
      <c r="F37">
        <v>-10.75</v>
      </c>
      <c r="G37">
        <v>35.549999999999997</v>
      </c>
    </row>
    <row r="38" spans="2:7" x14ac:dyDescent="0.3">
      <c r="B38" t="s">
        <v>73</v>
      </c>
      <c r="C38">
        <v>375</v>
      </c>
      <c r="D38">
        <v>2451979</v>
      </c>
      <c r="E38">
        <v>90.78</v>
      </c>
      <c r="F38">
        <v>-9.3800000000000008</v>
      </c>
      <c r="G38">
        <v>-31.73</v>
      </c>
    </row>
    <row r="39" spans="2:7" x14ac:dyDescent="0.3">
      <c r="B39" t="s">
        <v>17</v>
      </c>
      <c r="C39">
        <v>392.3</v>
      </c>
      <c r="D39">
        <v>10271402</v>
      </c>
      <c r="E39">
        <v>408.66</v>
      </c>
      <c r="F39">
        <v>-7.35</v>
      </c>
      <c r="G39">
        <v>8.3699999999999992</v>
      </c>
    </row>
    <row r="40" spans="2:7" x14ac:dyDescent="0.3">
      <c r="B40" t="s">
        <v>78</v>
      </c>
      <c r="C40">
        <v>396.95</v>
      </c>
      <c r="D40">
        <v>2144020</v>
      </c>
      <c r="E40">
        <v>85.54</v>
      </c>
      <c r="F40">
        <v>-1.97</v>
      </c>
      <c r="G40">
        <v>38.07</v>
      </c>
    </row>
    <row r="41" spans="2:7" x14ac:dyDescent="0.3">
      <c r="B41" t="s">
        <v>28</v>
      </c>
      <c r="C41">
        <v>410.75</v>
      </c>
      <c r="D41">
        <v>5491468</v>
      </c>
      <c r="E41">
        <v>224.16</v>
      </c>
      <c r="F41">
        <v>3.43</v>
      </c>
      <c r="G41">
        <v>-6.83</v>
      </c>
    </row>
    <row r="42" spans="2:7" x14ac:dyDescent="0.3">
      <c r="B42" t="s">
        <v>132</v>
      </c>
      <c r="C42">
        <v>411.5</v>
      </c>
      <c r="D42">
        <v>540857</v>
      </c>
      <c r="E42">
        <v>22.64</v>
      </c>
      <c r="F42">
        <v>-5.39</v>
      </c>
      <c r="G42">
        <v>-12.55</v>
      </c>
    </row>
    <row r="43" spans="2:7" x14ac:dyDescent="0.3">
      <c r="B43" t="s">
        <v>75</v>
      </c>
      <c r="C43">
        <v>418.15</v>
      </c>
      <c r="D43">
        <v>2097228</v>
      </c>
      <c r="E43">
        <v>86.88</v>
      </c>
      <c r="F43">
        <v>-15.96</v>
      </c>
      <c r="G43">
        <v>-3.5</v>
      </c>
    </row>
    <row r="44" spans="2:7" x14ac:dyDescent="0.3">
      <c r="B44" t="s">
        <v>19</v>
      </c>
      <c r="C44">
        <v>422.15</v>
      </c>
      <c r="D44">
        <v>8487227</v>
      </c>
      <c r="E44">
        <v>365.73</v>
      </c>
      <c r="F44">
        <v>7.03</v>
      </c>
      <c r="G44">
        <v>102.17</v>
      </c>
    </row>
    <row r="45" spans="2:7" x14ac:dyDescent="0.3">
      <c r="B45" t="s">
        <v>107</v>
      </c>
      <c r="C45">
        <v>469.3</v>
      </c>
      <c r="D45">
        <v>942661</v>
      </c>
      <c r="E45">
        <v>43.41</v>
      </c>
      <c r="F45">
        <v>-7.69</v>
      </c>
      <c r="G45">
        <v>-22.68</v>
      </c>
    </row>
    <row r="46" spans="2:7" x14ac:dyDescent="0.3">
      <c r="B46" t="s">
        <v>120</v>
      </c>
      <c r="C46">
        <v>472.45</v>
      </c>
      <c r="D46">
        <v>687597</v>
      </c>
      <c r="E46">
        <v>32.35</v>
      </c>
      <c r="F46">
        <v>-9.6199999999999992</v>
      </c>
      <c r="G46">
        <v>-34.11</v>
      </c>
    </row>
    <row r="47" spans="2:7" x14ac:dyDescent="0.3">
      <c r="B47" t="s">
        <v>134</v>
      </c>
      <c r="C47">
        <v>479.45</v>
      </c>
      <c r="D47">
        <v>397752</v>
      </c>
      <c r="E47">
        <v>18.91</v>
      </c>
      <c r="F47">
        <v>-11.41</v>
      </c>
      <c r="G47">
        <v>-11.21</v>
      </c>
    </row>
    <row r="48" spans="2:7" x14ac:dyDescent="0.3">
      <c r="B48" t="s">
        <v>116</v>
      </c>
      <c r="C48">
        <v>480.4</v>
      </c>
      <c r="D48">
        <v>712724</v>
      </c>
      <c r="E48">
        <v>33.92</v>
      </c>
      <c r="F48">
        <v>-2.17</v>
      </c>
      <c r="G48">
        <v>-28.3</v>
      </c>
    </row>
    <row r="49" spans="2:7" x14ac:dyDescent="0.3">
      <c r="B49" t="s">
        <v>51</v>
      </c>
      <c r="C49">
        <v>495.4</v>
      </c>
      <c r="D49">
        <v>2471923</v>
      </c>
      <c r="E49">
        <v>123.65</v>
      </c>
      <c r="F49">
        <v>12.68</v>
      </c>
      <c r="G49">
        <v>27.1</v>
      </c>
    </row>
    <row r="50" spans="2:7" x14ac:dyDescent="0.3">
      <c r="B50" t="s">
        <v>101</v>
      </c>
      <c r="C50">
        <v>502</v>
      </c>
      <c r="D50">
        <v>1057889</v>
      </c>
      <c r="E50">
        <v>53.74</v>
      </c>
      <c r="F50">
        <v>0.95</v>
      </c>
      <c r="G50">
        <v>-5.83</v>
      </c>
    </row>
    <row r="51" spans="2:7" x14ac:dyDescent="0.3">
      <c r="B51" t="s">
        <v>151</v>
      </c>
      <c r="C51">
        <v>518.85</v>
      </c>
      <c r="D51">
        <v>138830</v>
      </c>
      <c r="E51">
        <v>7.12</v>
      </c>
      <c r="F51">
        <v>-9.49</v>
      </c>
      <c r="G51">
        <v>-32.22</v>
      </c>
    </row>
    <row r="52" spans="2:7" x14ac:dyDescent="0.3">
      <c r="B52" t="s">
        <v>153</v>
      </c>
      <c r="C52">
        <v>526.20000000000005</v>
      </c>
      <c r="D52">
        <v>100734</v>
      </c>
      <c r="E52">
        <v>5.2</v>
      </c>
      <c r="F52">
        <v>-13.69</v>
      </c>
      <c r="G52">
        <v>-17.25</v>
      </c>
    </row>
    <row r="53" spans="2:7" x14ac:dyDescent="0.3">
      <c r="B53" t="s">
        <v>56</v>
      </c>
      <c r="C53">
        <v>526.5</v>
      </c>
      <c r="D53">
        <v>2167753</v>
      </c>
      <c r="E53">
        <v>116.18</v>
      </c>
      <c r="F53">
        <v>-5.24</v>
      </c>
      <c r="G53">
        <v>5.67</v>
      </c>
    </row>
    <row r="54" spans="2:7" x14ac:dyDescent="0.3">
      <c r="B54" t="s">
        <v>89</v>
      </c>
      <c r="C54">
        <v>562</v>
      </c>
      <c r="D54">
        <v>1160555</v>
      </c>
      <c r="E54">
        <v>64.349999999999994</v>
      </c>
      <c r="F54">
        <v>-12.19</v>
      </c>
      <c r="G54">
        <v>-55.41</v>
      </c>
    </row>
    <row r="55" spans="2:7" x14ac:dyDescent="0.3">
      <c r="B55" t="s">
        <v>42</v>
      </c>
      <c r="C55">
        <v>563</v>
      </c>
      <c r="D55">
        <v>2616014</v>
      </c>
      <c r="E55">
        <v>145.72</v>
      </c>
      <c r="F55">
        <v>10.06</v>
      </c>
      <c r="G55">
        <v>-0.46</v>
      </c>
    </row>
    <row r="56" spans="2:7" x14ac:dyDescent="0.3">
      <c r="B56" t="s">
        <v>65</v>
      </c>
      <c r="C56">
        <v>576.75</v>
      </c>
      <c r="D56">
        <v>1763304</v>
      </c>
      <c r="E56">
        <v>101.02</v>
      </c>
      <c r="F56">
        <v>0.47</v>
      </c>
      <c r="G56">
        <v>-18.22</v>
      </c>
    </row>
    <row r="57" spans="2:7" x14ac:dyDescent="0.3">
      <c r="B57" t="s">
        <v>102</v>
      </c>
      <c r="C57">
        <v>609.4</v>
      </c>
      <c r="D57">
        <v>871019</v>
      </c>
      <c r="E57">
        <v>53.72</v>
      </c>
      <c r="F57">
        <v>-6.85</v>
      </c>
      <c r="G57">
        <v>3.01</v>
      </c>
    </row>
    <row r="58" spans="2:7" x14ac:dyDescent="0.3">
      <c r="B58" t="s">
        <v>16</v>
      </c>
      <c r="C58">
        <v>612.6</v>
      </c>
      <c r="D58">
        <v>7297816</v>
      </c>
      <c r="E58">
        <v>445.54</v>
      </c>
      <c r="F58">
        <v>0.21</v>
      </c>
      <c r="G58">
        <v>21.46</v>
      </c>
    </row>
    <row r="59" spans="2:7" x14ac:dyDescent="0.3">
      <c r="B59" t="s">
        <v>148</v>
      </c>
      <c r="C59">
        <v>622.04999999999995</v>
      </c>
      <c r="D59">
        <v>129846</v>
      </c>
      <c r="E59">
        <v>8.0299999999999994</v>
      </c>
      <c r="F59">
        <v>-10.220000000000001</v>
      </c>
      <c r="G59">
        <v>-6.93</v>
      </c>
    </row>
    <row r="60" spans="2:7" x14ac:dyDescent="0.3">
      <c r="B60" t="s">
        <v>41</v>
      </c>
      <c r="C60">
        <v>668</v>
      </c>
      <c r="D60">
        <v>2199393</v>
      </c>
      <c r="E60">
        <v>146.75</v>
      </c>
      <c r="F60">
        <v>1.43</v>
      </c>
      <c r="G60">
        <v>-18.420000000000002</v>
      </c>
    </row>
    <row r="61" spans="2:7" x14ac:dyDescent="0.3">
      <c r="B61" t="s">
        <v>124</v>
      </c>
      <c r="C61">
        <v>683.1</v>
      </c>
      <c r="D61">
        <v>424779</v>
      </c>
      <c r="E61">
        <v>28.69</v>
      </c>
      <c r="F61">
        <v>1.4</v>
      </c>
      <c r="G61">
        <v>-13.57</v>
      </c>
    </row>
    <row r="62" spans="2:7" x14ac:dyDescent="0.3">
      <c r="B62" t="s">
        <v>14</v>
      </c>
      <c r="C62">
        <v>695.75</v>
      </c>
      <c r="D62">
        <v>7262193</v>
      </c>
      <c r="E62">
        <v>502.24</v>
      </c>
      <c r="F62">
        <v>21.39</v>
      </c>
      <c r="G62">
        <v>0</v>
      </c>
    </row>
    <row r="63" spans="2:7" x14ac:dyDescent="0.3">
      <c r="B63" t="s">
        <v>15</v>
      </c>
      <c r="C63">
        <v>738.75</v>
      </c>
      <c r="D63">
        <v>6366585</v>
      </c>
      <c r="E63">
        <v>495.89</v>
      </c>
      <c r="F63">
        <v>7.02</v>
      </c>
      <c r="G63">
        <v>2.23</v>
      </c>
    </row>
    <row r="64" spans="2:7" x14ac:dyDescent="0.3">
      <c r="B64" t="s">
        <v>32</v>
      </c>
      <c r="C64">
        <v>823.9</v>
      </c>
      <c r="D64">
        <v>2389739</v>
      </c>
      <c r="E64">
        <v>194.32</v>
      </c>
      <c r="F64">
        <v>-5.58</v>
      </c>
      <c r="G64">
        <v>11.11</v>
      </c>
    </row>
    <row r="65" spans="2:7" x14ac:dyDescent="0.3">
      <c r="B65" t="s">
        <v>49</v>
      </c>
      <c r="C65">
        <v>859.9</v>
      </c>
      <c r="D65">
        <v>1463841</v>
      </c>
      <c r="E65">
        <v>125.54</v>
      </c>
      <c r="F65">
        <v>-3.69</v>
      </c>
      <c r="G65">
        <v>27.86</v>
      </c>
    </row>
    <row r="66" spans="2:7" x14ac:dyDescent="0.3">
      <c r="B66" t="s">
        <v>92</v>
      </c>
      <c r="C66">
        <v>908</v>
      </c>
      <c r="D66">
        <v>670656</v>
      </c>
      <c r="E66">
        <v>61.1</v>
      </c>
      <c r="F66">
        <v>-4.2</v>
      </c>
      <c r="G66">
        <v>-3.64</v>
      </c>
    </row>
    <row r="67" spans="2:7" x14ac:dyDescent="0.3">
      <c r="B67" t="s">
        <v>74</v>
      </c>
      <c r="C67">
        <v>957.8</v>
      </c>
      <c r="D67">
        <v>928217</v>
      </c>
      <c r="E67">
        <v>88.92</v>
      </c>
      <c r="F67">
        <v>12.25</v>
      </c>
      <c r="G67">
        <v>15.28</v>
      </c>
    </row>
    <row r="68" spans="2:7" x14ac:dyDescent="0.3">
      <c r="B68" t="s">
        <v>95</v>
      </c>
      <c r="C68">
        <v>988.8</v>
      </c>
      <c r="D68">
        <v>583491</v>
      </c>
      <c r="E68">
        <v>57.47</v>
      </c>
      <c r="F68">
        <v>-6.81</v>
      </c>
      <c r="G68">
        <v>-2.27</v>
      </c>
    </row>
    <row r="69" spans="2:7" x14ac:dyDescent="0.3">
      <c r="B69" t="s">
        <v>66</v>
      </c>
      <c r="C69">
        <v>997.7</v>
      </c>
      <c r="D69">
        <v>996411</v>
      </c>
      <c r="E69">
        <v>99.96</v>
      </c>
      <c r="F69">
        <v>-1.76</v>
      </c>
      <c r="G69">
        <v>34.56</v>
      </c>
    </row>
    <row r="70" spans="2:7" x14ac:dyDescent="0.3">
      <c r="B70" t="s">
        <v>104</v>
      </c>
      <c r="C70" s="1">
        <v>1051.5</v>
      </c>
      <c r="D70">
        <v>489071</v>
      </c>
      <c r="E70">
        <v>50.47</v>
      </c>
      <c r="F70">
        <v>17.82</v>
      </c>
      <c r="G70">
        <v>15.85</v>
      </c>
    </row>
    <row r="71" spans="2:7" x14ac:dyDescent="0.3">
      <c r="B71" t="s">
        <v>44</v>
      </c>
      <c r="C71" s="1">
        <v>1073.7</v>
      </c>
      <c r="D71">
        <v>1294481</v>
      </c>
      <c r="E71">
        <v>138.33000000000001</v>
      </c>
      <c r="F71">
        <v>-0.61</v>
      </c>
      <c r="G71">
        <v>52.05</v>
      </c>
    </row>
    <row r="72" spans="2:7" x14ac:dyDescent="0.3">
      <c r="B72" t="s">
        <v>68</v>
      </c>
      <c r="C72" s="1">
        <v>1110</v>
      </c>
      <c r="D72">
        <v>869898</v>
      </c>
      <c r="E72">
        <v>95.72</v>
      </c>
      <c r="F72">
        <v>-6.91</v>
      </c>
      <c r="G72">
        <v>4.17</v>
      </c>
    </row>
    <row r="73" spans="2:7" x14ac:dyDescent="0.3">
      <c r="B73" t="s">
        <v>126</v>
      </c>
      <c r="C73" s="1">
        <v>1135</v>
      </c>
      <c r="D73">
        <v>239559</v>
      </c>
      <c r="E73">
        <v>27.29</v>
      </c>
      <c r="F73">
        <v>6.16</v>
      </c>
      <c r="G73">
        <v>14.7</v>
      </c>
    </row>
    <row r="74" spans="2:7" x14ac:dyDescent="0.3">
      <c r="B74" t="s">
        <v>85</v>
      </c>
      <c r="C74" s="1">
        <v>1140</v>
      </c>
      <c r="D74">
        <v>608049</v>
      </c>
      <c r="E74">
        <v>68.56</v>
      </c>
      <c r="F74">
        <v>-13.01</v>
      </c>
      <c r="G74">
        <v>-29.41</v>
      </c>
    </row>
    <row r="75" spans="2:7" x14ac:dyDescent="0.3">
      <c r="B75" t="s">
        <v>154</v>
      </c>
      <c r="C75" s="1">
        <v>1144</v>
      </c>
      <c r="D75">
        <v>45380</v>
      </c>
      <c r="E75">
        <v>5.14</v>
      </c>
      <c r="F75">
        <v>-14.07</v>
      </c>
      <c r="G75">
        <v>-7.36</v>
      </c>
    </row>
    <row r="76" spans="2:7" x14ac:dyDescent="0.3">
      <c r="B76" t="s">
        <v>99</v>
      </c>
      <c r="C76" s="1">
        <v>1144.8</v>
      </c>
      <c r="D76">
        <v>475069</v>
      </c>
      <c r="E76">
        <v>54.21</v>
      </c>
      <c r="F76">
        <v>-10.99</v>
      </c>
      <c r="G76">
        <v>-19.010000000000002</v>
      </c>
    </row>
    <row r="77" spans="2:7" x14ac:dyDescent="0.3">
      <c r="B77" t="s">
        <v>84</v>
      </c>
      <c r="C77" s="1">
        <v>1188.9000000000001</v>
      </c>
      <c r="D77">
        <v>588058</v>
      </c>
      <c r="E77">
        <v>68.75</v>
      </c>
      <c r="F77">
        <v>-0.95</v>
      </c>
      <c r="G77">
        <v>44.31</v>
      </c>
    </row>
    <row r="78" spans="2:7" x14ac:dyDescent="0.3">
      <c r="B78" t="s">
        <v>106</v>
      </c>
      <c r="C78" s="1">
        <v>1237</v>
      </c>
      <c r="D78">
        <v>375564</v>
      </c>
      <c r="E78">
        <v>46.26</v>
      </c>
      <c r="F78">
        <v>-4.3600000000000003</v>
      </c>
      <c r="G78">
        <v>-4.28</v>
      </c>
    </row>
    <row r="79" spans="2:7" x14ac:dyDescent="0.3">
      <c r="B79" t="s">
        <v>39</v>
      </c>
      <c r="C79" s="1">
        <v>1242.5</v>
      </c>
      <c r="D79">
        <v>1337188</v>
      </c>
      <c r="E79">
        <v>163.37</v>
      </c>
      <c r="F79">
        <v>-5.87</v>
      </c>
      <c r="G79">
        <v>-14.45</v>
      </c>
    </row>
    <row r="80" spans="2:7" x14ac:dyDescent="0.3">
      <c r="B80" t="s">
        <v>129</v>
      </c>
      <c r="C80" s="1">
        <v>1252.5</v>
      </c>
      <c r="D80">
        <v>189906</v>
      </c>
      <c r="E80">
        <v>24.07</v>
      </c>
      <c r="F80">
        <v>-9.98</v>
      </c>
      <c r="G80">
        <v>-30.15</v>
      </c>
    </row>
    <row r="81" spans="2:7" x14ac:dyDescent="0.3">
      <c r="B81" t="s">
        <v>139</v>
      </c>
      <c r="C81" s="1">
        <v>1262.8</v>
      </c>
      <c r="D81">
        <v>122510</v>
      </c>
      <c r="E81">
        <v>15.46</v>
      </c>
      <c r="F81">
        <v>-7.69</v>
      </c>
      <c r="G81">
        <v>-32.01</v>
      </c>
    </row>
    <row r="82" spans="2:7" x14ac:dyDescent="0.3">
      <c r="B82" t="s">
        <v>90</v>
      </c>
      <c r="C82" s="1">
        <v>1270.2</v>
      </c>
      <c r="D82">
        <v>486733</v>
      </c>
      <c r="E82">
        <v>63.68</v>
      </c>
      <c r="F82">
        <v>-3.59</v>
      </c>
      <c r="G82">
        <v>4.6900000000000004</v>
      </c>
    </row>
    <row r="83" spans="2:7" x14ac:dyDescent="0.3">
      <c r="B83" t="s">
        <v>40</v>
      </c>
      <c r="C83" s="1">
        <v>1292</v>
      </c>
      <c r="D83">
        <v>1281379</v>
      </c>
      <c r="E83">
        <v>161.84</v>
      </c>
      <c r="F83">
        <v>3.4</v>
      </c>
      <c r="G83">
        <v>-6.11</v>
      </c>
    </row>
    <row r="84" spans="2:7" x14ac:dyDescent="0.3">
      <c r="B84" t="s">
        <v>80</v>
      </c>
      <c r="C84" s="1">
        <v>1428.6</v>
      </c>
      <c r="D84">
        <v>565564</v>
      </c>
      <c r="E84">
        <v>83.4</v>
      </c>
      <c r="F84">
        <v>1.9</v>
      </c>
      <c r="G84">
        <v>7.66</v>
      </c>
    </row>
    <row r="85" spans="2:7" x14ac:dyDescent="0.3">
      <c r="B85" t="s">
        <v>59</v>
      </c>
      <c r="C85" s="1">
        <v>1460.9</v>
      </c>
      <c r="D85">
        <v>714546</v>
      </c>
      <c r="E85">
        <v>104.37</v>
      </c>
      <c r="F85">
        <v>-3.77</v>
      </c>
      <c r="G85">
        <v>-22.79</v>
      </c>
    </row>
    <row r="86" spans="2:7" x14ac:dyDescent="0.3">
      <c r="B86" t="s">
        <v>43</v>
      </c>
      <c r="C86" s="1">
        <v>1484.4</v>
      </c>
      <c r="D86">
        <v>974837</v>
      </c>
      <c r="E86">
        <v>143.16</v>
      </c>
      <c r="F86">
        <v>-10.07</v>
      </c>
      <c r="G86">
        <v>-19.670000000000002</v>
      </c>
    </row>
    <row r="87" spans="2:7" x14ac:dyDescent="0.3">
      <c r="B87" t="s">
        <v>54</v>
      </c>
      <c r="C87" s="1">
        <v>1498.7</v>
      </c>
      <c r="D87">
        <v>802373</v>
      </c>
      <c r="E87">
        <v>118.06</v>
      </c>
      <c r="F87">
        <v>-1.93</v>
      </c>
      <c r="G87">
        <v>-8.08</v>
      </c>
    </row>
    <row r="88" spans="2:7" x14ac:dyDescent="0.3">
      <c r="B88" t="s">
        <v>57</v>
      </c>
      <c r="C88" s="1">
        <v>1500.8</v>
      </c>
      <c r="D88">
        <v>769503</v>
      </c>
      <c r="E88">
        <v>113.68</v>
      </c>
      <c r="F88">
        <v>2.13</v>
      </c>
      <c r="G88">
        <v>0.88</v>
      </c>
    </row>
    <row r="89" spans="2:7" x14ac:dyDescent="0.3">
      <c r="B89" t="s">
        <v>33</v>
      </c>
      <c r="C89" s="1">
        <v>1528.2</v>
      </c>
      <c r="D89">
        <v>1253871</v>
      </c>
      <c r="E89">
        <v>193.02</v>
      </c>
      <c r="F89">
        <v>2.39</v>
      </c>
      <c r="G89">
        <v>-4.51</v>
      </c>
    </row>
    <row r="90" spans="2:7" x14ac:dyDescent="0.3">
      <c r="B90" t="s">
        <v>145</v>
      </c>
      <c r="C90" s="1">
        <v>1549.3</v>
      </c>
      <c r="D90">
        <v>74733</v>
      </c>
      <c r="E90">
        <v>11.54</v>
      </c>
      <c r="F90">
        <v>0.27</v>
      </c>
      <c r="G90">
        <v>-12.82</v>
      </c>
    </row>
    <row r="91" spans="2:7" x14ac:dyDescent="0.3">
      <c r="B91" t="s">
        <v>81</v>
      </c>
      <c r="C91" s="1">
        <v>1561.6</v>
      </c>
      <c r="D91">
        <v>499802</v>
      </c>
      <c r="E91">
        <v>77.33</v>
      </c>
      <c r="F91">
        <v>-2.8</v>
      </c>
      <c r="G91">
        <v>-0.15</v>
      </c>
    </row>
    <row r="92" spans="2:7" x14ac:dyDescent="0.3">
      <c r="B92" t="s">
        <v>8</v>
      </c>
      <c r="C92" s="1">
        <v>1670</v>
      </c>
      <c r="D92">
        <v>8247684</v>
      </c>
      <c r="E92" s="1">
        <v>1432.4</v>
      </c>
      <c r="F92">
        <v>21.5</v>
      </c>
      <c r="G92">
        <v>43.67</v>
      </c>
    </row>
    <row r="93" spans="2:7" x14ac:dyDescent="0.3">
      <c r="B93" t="s">
        <v>105</v>
      </c>
      <c r="C93" s="1">
        <v>1672.2</v>
      </c>
      <c r="D93">
        <v>285259</v>
      </c>
      <c r="E93">
        <v>47.28</v>
      </c>
      <c r="F93">
        <v>3.56</v>
      </c>
      <c r="G93">
        <v>0</v>
      </c>
    </row>
    <row r="94" spans="2:7" x14ac:dyDescent="0.3">
      <c r="B94" t="s">
        <v>64</v>
      </c>
      <c r="C94" s="1">
        <v>1692</v>
      </c>
      <c r="D94">
        <v>600583</v>
      </c>
      <c r="E94">
        <v>101.09</v>
      </c>
      <c r="F94">
        <v>2.4700000000000002</v>
      </c>
      <c r="G94">
        <v>62.75</v>
      </c>
    </row>
    <row r="95" spans="2:7" x14ac:dyDescent="0.3">
      <c r="B95" t="s">
        <v>152</v>
      </c>
      <c r="C95" s="1">
        <v>1700.5</v>
      </c>
      <c r="D95">
        <v>41241</v>
      </c>
      <c r="E95">
        <v>7.09</v>
      </c>
      <c r="F95">
        <v>-4.8899999999999997</v>
      </c>
      <c r="G95">
        <v>-27.9</v>
      </c>
    </row>
    <row r="96" spans="2:7" x14ac:dyDescent="0.3">
      <c r="B96" t="s">
        <v>110</v>
      </c>
      <c r="C96" s="1">
        <v>1752.8</v>
      </c>
      <c r="D96">
        <v>207805</v>
      </c>
      <c r="E96">
        <v>36.76</v>
      </c>
      <c r="F96">
        <v>0.62</v>
      </c>
      <c r="G96">
        <v>10.130000000000001</v>
      </c>
    </row>
    <row r="97" spans="2:7" x14ac:dyDescent="0.3">
      <c r="B97" t="s">
        <v>115</v>
      </c>
      <c r="C97" s="1">
        <v>1799.3</v>
      </c>
      <c r="D97">
        <v>188202</v>
      </c>
      <c r="E97">
        <v>34.090000000000003</v>
      </c>
      <c r="F97">
        <v>-14.1</v>
      </c>
      <c r="G97">
        <v>37.15</v>
      </c>
    </row>
    <row r="98" spans="2:7" x14ac:dyDescent="0.3">
      <c r="B98" t="s">
        <v>70</v>
      </c>
      <c r="C98" s="1">
        <v>1819.9</v>
      </c>
      <c r="D98">
        <v>518477</v>
      </c>
      <c r="E98">
        <v>93.26</v>
      </c>
      <c r="F98">
        <v>-11.33</v>
      </c>
      <c r="G98">
        <v>-24.97</v>
      </c>
    </row>
    <row r="99" spans="2:7" x14ac:dyDescent="0.3">
      <c r="B99" t="s">
        <v>30</v>
      </c>
      <c r="C99" s="1">
        <v>1826</v>
      </c>
      <c r="D99">
        <v>1177932</v>
      </c>
      <c r="E99">
        <v>212.55</v>
      </c>
      <c r="F99">
        <v>12.18</v>
      </c>
      <c r="G99">
        <v>-0.41</v>
      </c>
    </row>
    <row r="100" spans="2:7" x14ac:dyDescent="0.3">
      <c r="B100" t="s">
        <v>109</v>
      </c>
      <c r="C100" s="1">
        <v>1833.8</v>
      </c>
      <c r="D100">
        <v>222585</v>
      </c>
      <c r="E100">
        <v>40.33</v>
      </c>
      <c r="F100">
        <v>1.41</v>
      </c>
      <c r="G100">
        <v>11.29</v>
      </c>
    </row>
    <row r="101" spans="2:7" x14ac:dyDescent="0.3">
      <c r="B101" t="s">
        <v>96</v>
      </c>
      <c r="C101" s="1">
        <v>1885</v>
      </c>
      <c r="D101">
        <v>299790</v>
      </c>
      <c r="E101">
        <v>56.82</v>
      </c>
      <c r="F101">
        <v>-0.54</v>
      </c>
      <c r="G101">
        <v>21.2</v>
      </c>
    </row>
    <row r="102" spans="2:7" x14ac:dyDescent="0.3">
      <c r="B102" t="s">
        <v>63</v>
      </c>
      <c r="C102" s="1">
        <v>1906.6</v>
      </c>
      <c r="D102">
        <v>538632</v>
      </c>
      <c r="E102">
        <v>101.18</v>
      </c>
      <c r="F102">
        <v>-10.29</v>
      </c>
      <c r="G102">
        <v>-4.75</v>
      </c>
    </row>
    <row r="103" spans="2:7" x14ac:dyDescent="0.3">
      <c r="B103" t="s">
        <v>21</v>
      </c>
      <c r="C103" s="1">
        <v>1946.9</v>
      </c>
      <c r="D103">
        <v>1822218</v>
      </c>
      <c r="E103">
        <v>352.82</v>
      </c>
      <c r="F103">
        <v>5.03</v>
      </c>
      <c r="G103">
        <v>114.67</v>
      </c>
    </row>
    <row r="104" spans="2:7" x14ac:dyDescent="0.3">
      <c r="B104" t="s">
        <v>6</v>
      </c>
      <c r="C104" s="1">
        <v>1950</v>
      </c>
      <c r="D104">
        <v>10837239</v>
      </c>
      <c r="E104" s="1">
        <v>1996.14</v>
      </c>
      <c r="F104">
        <v>3.89</v>
      </c>
      <c r="G104">
        <v>8.75</v>
      </c>
    </row>
    <row r="105" spans="2:7" x14ac:dyDescent="0.3">
      <c r="B105" t="s">
        <v>138</v>
      </c>
      <c r="C105" s="1">
        <v>1951.1</v>
      </c>
      <c r="D105">
        <v>83551</v>
      </c>
      <c r="E105">
        <v>16.27</v>
      </c>
      <c r="F105">
        <v>-5.31</v>
      </c>
      <c r="G105">
        <v>-11.6</v>
      </c>
    </row>
    <row r="106" spans="2:7" x14ac:dyDescent="0.3">
      <c r="B106" t="s">
        <v>128</v>
      </c>
      <c r="C106" s="1">
        <v>1967.2</v>
      </c>
      <c r="D106">
        <v>126119</v>
      </c>
      <c r="E106">
        <v>24.76</v>
      </c>
      <c r="F106">
        <v>12.68</v>
      </c>
      <c r="G106">
        <v>48.16</v>
      </c>
    </row>
    <row r="107" spans="2:7" x14ac:dyDescent="0.3">
      <c r="B107" t="s">
        <v>61</v>
      </c>
      <c r="C107" s="1">
        <v>2003.7</v>
      </c>
      <c r="D107">
        <v>522619</v>
      </c>
      <c r="E107">
        <v>103.56</v>
      </c>
      <c r="F107">
        <v>-12.61</v>
      </c>
      <c r="G107">
        <v>67.52</v>
      </c>
    </row>
    <row r="108" spans="2:7" x14ac:dyDescent="0.3">
      <c r="B108" t="s">
        <v>111</v>
      </c>
      <c r="C108" s="1">
        <v>2010</v>
      </c>
      <c r="D108">
        <v>184308</v>
      </c>
      <c r="E108">
        <v>36.590000000000003</v>
      </c>
      <c r="F108">
        <v>-13.45</v>
      </c>
      <c r="G108">
        <v>-45.67</v>
      </c>
    </row>
    <row r="109" spans="2:7" x14ac:dyDescent="0.3">
      <c r="B109" t="s">
        <v>50</v>
      </c>
      <c r="C109" s="1">
        <v>2104.6999999999998</v>
      </c>
      <c r="D109">
        <v>596996</v>
      </c>
      <c r="E109">
        <v>125.51</v>
      </c>
      <c r="F109">
        <v>-11.15</v>
      </c>
      <c r="G109">
        <v>7.29</v>
      </c>
    </row>
    <row r="110" spans="2:7" x14ac:dyDescent="0.3">
      <c r="B110" t="s">
        <v>94</v>
      </c>
      <c r="C110" s="1">
        <v>2185</v>
      </c>
      <c r="D110">
        <v>270373</v>
      </c>
      <c r="E110">
        <v>58.92</v>
      </c>
      <c r="F110">
        <v>10.050000000000001</v>
      </c>
      <c r="G110">
        <v>27.91</v>
      </c>
    </row>
    <row r="111" spans="2:7" x14ac:dyDescent="0.3">
      <c r="B111" t="s">
        <v>58</v>
      </c>
      <c r="C111" s="1">
        <v>2258</v>
      </c>
      <c r="D111">
        <v>491646</v>
      </c>
      <c r="E111">
        <v>108.77</v>
      </c>
      <c r="F111">
        <v>-10.72</v>
      </c>
      <c r="G111">
        <v>-4.26</v>
      </c>
    </row>
    <row r="112" spans="2:7" x14ac:dyDescent="0.3">
      <c r="B112" t="s">
        <v>93</v>
      </c>
      <c r="C112" s="1">
        <v>2309</v>
      </c>
      <c r="D112">
        <v>266219</v>
      </c>
      <c r="E112">
        <v>60.73</v>
      </c>
      <c r="F112">
        <v>-7.78</v>
      </c>
      <c r="G112">
        <v>-12.52</v>
      </c>
    </row>
    <row r="113" spans="2:7" x14ac:dyDescent="0.3">
      <c r="B113" t="s">
        <v>86</v>
      </c>
      <c r="C113" s="1">
        <v>2355</v>
      </c>
      <c r="D113">
        <v>288892</v>
      </c>
      <c r="E113">
        <v>66.63</v>
      </c>
      <c r="F113">
        <v>-6.77</v>
      </c>
      <c r="G113">
        <v>-19.13</v>
      </c>
    </row>
    <row r="114" spans="2:7" x14ac:dyDescent="0.3">
      <c r="B114" t="s">
        <v>130</v>
      </c>
      <c r="C114" s="1">
        <v>2395</v>
      </c>
      <c r="D114">
        <v>100714</v>
      </c>
      <c r="E114">
        <v>24.02</v>
      </c>
      <c r="F114">
        <v>-13.72</v>
      </c>
      <c r="G114">
        <v>-35.22</v>
      </c>
    </row>
    <row r="115" spans="2:7" x14ac:dyDescent="0.3">
      <c r="B115" t="s">
        <v>62</v>
      </c>
      <c r="C115" s="1">
        <v>2474.5</v>
      </c>
      <c r="D115">
        <v>424753</v>
      </c>
      <c r="E115">
        <v>103.21</v>
      </c>
      <c r="F115">
        <v>6.84</v>
      </c>
      <c r="G115">
        <v>15.06</v>
      </c>
    </row>
    <row r="116" spans="2:7" x14ac:dyDescent="0.3">
      <c r="B116" t="s">
        <v>136</v>
      </c>
      <c r="C116" s="1">
        <v>2522</v>
      </c>
      <c r="D116">
        <v>68501</v>
      </c>
      <c r="E116">
        <v>17.27</v>
      </c>
      <c r="F116">
        <v>-3.63</v>
      </c>
      <c r="G116">
        <v>-14.11</v>
      </c>
    </row>
    <row r="117" spans="2:7" x14ac:dyDescent="0.3">
      <c r="B117" t="s">
        <v>82</v>
      </c>
      <c r="C117" s="1">
        <v>2571</v>
      </c>
      <c r="D117">
        <v>282648</v>
      </c>
      <c r="E117">
        <v>72.86</v>
      </c>
      <c r="F117">
        <v>-5.48</v>
      </c>
      <c r="G117">
        <v>-21.21</v>
      </c>
    </row>
    <row r="118" spans="2:7" x14ac:dyDescent="0.3">
      <c r="B118" t="s">
        <v>91</v>
      </c>
      <c r="C118" s="1">
        <v>2638.7</v>
      </c>
      <c r="D118">
        <v>234838</v>
      </c>
      <c r="E118">
        <v>62.85</v>
      </c>
      <c r="F118">
        <v>-3.38</v>
      </c>
      <c r="G118">
        <v>-15.02</v>
      </c>
    </row>
    <row r="119" spans="2:7" x14ac:dyDescent="0.3">
      <c r="B119" t="s">
        <v>118</v>
      </c>
      <c r="C119" s="1">
        <v>2735.3</v>
      </c>
      <c r="D119">
        <v>117170</v>
      </c>
      <c r="E119">
        <v>32.65</v>
      </c>
      <c r="F119">
        <v>-5.41</v>
      </c>
      <c r="G119">
        <v>-7.84</v>
      </c>
    </row>
    <row r="120" spans="2:7" x14ac:dyDescent="0.3">
      <c r="B120" t="s">
        <v>147</v>
      </c>
      <c r="C120" s="1">
        <v>2928.2</v>
      </c>
      <c r="D120">
        <v>29124</v>
      </c>
      <c r="E120">
        <v>8.51</v>
      </c>
      <c r="F120">
        <v>12.31</v>
      </c>
      <c r="G120">
        <v>3.52</v>
      </c>
    </row>
    <row r="121" spans="2:7" x14ac:dyDescent="0.3">
      <c r="B121" t="s">
        <v>60</v>
      </c>
      <c r="C121" s="1">
        <v>3013</v>
      </c>
      <c r="D121">
        <v>347633</v>
      </c>
      <c r="E121">
        <v>103.93</v>
      </c>
      <c r="F121">
        <v>-2.2999999999999998</v>
      </c>
      <c r="G121">
        <v>0</v>
      </c>
    </row>
    <row r="122" spans="2:7" x14ac:dyDescent="0.3">
      <c r="B122" t="s">
        <v>146</v>
      </c>
      <c r="C122" s="1">
        <v>3013.2</v>
      </c>
      <c r="D122">
        <v>31863</v>
      </c>
      <c r="E122">
        <v>9.5500000000000007</v>
      </c>
      <c r="F122">
        <v>-2.86</v>
      </c>
      <c r="G122">
        <v>-20.58</v>
      </c>
    </row>
    <row r="123" spans="2:7" x14ac:dyDescent="0.3">
      <c r="B123" t="s">
        <v>10</v>
      </c>
      <c r="C123" s="1">
        <v>3342</v>
      </c>
      <c r="D123">
        <v>2174879</v>
      </c>
      <c r="E123">
        <v>730.03</v>
      </c>
      <c r="F123">
        <v>26.99</v>
      </c>
      <c r="G123">
        <v>120.06</v>
      </c>
    </row>
    <row r="124" spans="2:7" x14ac:dyDescent="0.3">
      <c r="B124" t="s">
        <v>135</v>
      </c>
      <c r="C124" s="1">
        <v>3389.1</v>
      </c>
      <c r="D124">
        <v>52404</v>
      </c>
      <c r="E124">
        <v>17.61</v>
      </c>
      <c r="F124">
        <v>-6.44</v>
      </c>
      <c r="G124">
        <v>-17.829999999999998</v>
      </c>
    </row>
    <row r="125" spans="2:7" x14ac:dyDescent="0.3">
      <c r="B125" t="s">
        <v>7</v>
      </c>
      <c r="C125" s="1">
        <v>3394</v>
      </c>
      <c r="D125">
        <v>4365902</v>
      </c>
      <c r="E125" s="1">
        <v>1436.95</v>
      </c>
      <c r="F125">
        <v>-4.84</v>
      </c>
      <c r="G125">
        <v>39.799999999999997</v>
      </c>
    </row>
    <row r="126" spans="2:7" x14ac:dyDescent="0.3">
      <c r="B126" t="s">
        <v>79</v>
      </c>
      <c r="C126" s="1">
        <v>3492</v>
      </c>
      <c r="D126">
        <v>246727</v>
      </c>
      <c r="E126">
        <v>84.16</v>
      </c>
      <c r="F126">
        <v>-10.53</v>
      </c>
      <c r="G126">
        <v>-39.08</v>
      </c>
    </row>
    <row r="127" spans="2:7" x14ac:dyDescent="0.3">
      <c r="B127" t="s">
        <v>114</v>
      </c>
      <c r="C127" s="1">
        <v>3553</v>
      </c>
      <c r="D127">
        <v>99750</v>
      </c>
      <c r="E127">
        <v>35.049999999999997</v>
      </c>
      <c r="F127">
        <v>2.1800000000000002</v>
      </c>
      <c r="G127">
        <v>-19.68</v>
      </c>
    </row>
    <row r="128" spans="2:7" x14ac:dyDescent="0.3">
      <c r="B128" t="s">
        <v>142</v>
      </c>
      <c r="C128" s="1">
        <v>3579.3</v>
      </c>
      <c r="D128">
        <v>41843</v>
      </c>
      <c r="E128">
        <v>14.88</v>
      </c>
      <c r="F128">
        <v>0.68</v>
      </c>
      <c r="G128">
        <v>37.159999999999997</v>
      </c>
    </row>
    <row r="129" spans="2:7" x14ac:dyDescent="0.3">
      <c r="B129" t="s">
        <v>103</v>
      </c>
      <c r="C129" s="1">
        <v>3629.6</v>
      </c>
      <c r="D129">
        <v>140751</v>
      </c>
      <c r="E129">
        <v>51.32</v>
      </c>
      <c r="F129">
        <v>-10.4</v>
      </c>
      <c r="G129">
        <v>9.82</v>
      </c>
    </row>
    <row r="130" spans="2:7" x14ac:dyDescent="0.3">
      <c r="B130" t="s">
        <v>121</v>
      </c>
      <c r="C130" s="1">
        <v>3954.6</v>
      </c>
      <c r="D130">
        <v>76961</v>
      </c>
      <c r="E130">
        <v>30.24</v>
      </c>
      <c r="F130">
        <v>-2.38</v>
      </c>
      <c r="G130">
        <v>1.07</v>
      </c>
    </row>
    <row r="131" spans="2:7" x14ac:dyDescent="0.3">
      <c r="B131" t="s">
        <v>150</v>
      </c>
      <c r="C131" s="1">
        <v>4259</v>
      </c>
      <c r="D131">
        <v>18400</v>
      </c>
      <c r="E131">
        <v>7.72</v>
      </c>
      <c r="F131">
        <v>-12.67</v>
      </c>
      <c r="G131">
        <v>37.51</v>
      </c>
    </row>
    <row r="132" spans="2:7" x14ac:dyDescent="0.3">
      <c r="B132" t="s">
        <v>69</v>
      </c>
      <c r="C132" s="1">
        <v>4485</v>
      </c>
      <c r="D132">
        <v>212920</v>
      </c>
      <c r="E132">
        <v>94.23</v>
      </c>
      <c r="F132">
        <v>-1.89</v>
      </c>
      <c r="G132">
        <v>60.06</v>
      </c>
    </row>
    <row r="133" spans="2:7" x14ac:dyDescent="0.3">
      <c r="B133" t="s">
        <v>97</v>
      </c>
      <c r="C133" s="1">
        <v>4676.6000000000004</v>
      </c>
      <c r="D133">
        <v>119098</v>
      </c>
      <c r="E133">
        <v>56.21</v>
      </c>
      <c r="F133">
        <v>5.46</v>
      </c>
      <c r="G133">
        <v>30.97</v>
      </c>
    </row>
    <row r="134" spans="2:7" x14ac:dyDescent="0.3">
      <c r="B134" t="s">
        <v>20</v>
      </c>
      <c r="C134" s="1">
        <v>4697.5</v>
      </c>
      <c r="D134">
        <v>773204</v>
      </c>
      <c r="E134">
        <v>359.85</v>
      </c>
      <c r="F134">
        <v>-16.62</v>
      </c>
      <c r="G134">
        <v>15.95</v>
      </c>
    </row>
    <row r="135" spans="2:7" x14ac:dyDescent="0.3">
      <c r="B135" t="s">
        <v>144</v>
      </c>
      <c r="C135" s="1">
        <v>4712.7</v>
      </c>
      <c r="D135">
        <v>24537</v>
      </c>
      <c r="E135">
        <v>11.55</v>
      </c>
      <c r="F135">
        <v>2.56</v>
      </c>
      <c r="G135">
        <v>3.35</v>
      </c>
    </row>
    <row r="136" spans="2:7" x14ac:dyDescent="0.3">
      <c r="B136" t="s">
        <v>12</v>
      </c>
      <c r="C136" s="1">
        <v>4750</v>
      </c>
      <c r="D136">
        <v>1094528</v>
      </c>
      <c r="E136">
        <v>517.22</v>
      </c>
      <c r="F136">
        <v>8.6999999999999993</v>
      </c>
      <c r="G136">
        <v>71.930000000000007</v>
      </c>
    </row>
    <row r="137" spans="2:7" x14ac:dyDescent="0.3">
      <c r="B137" t="s">
        <v>149</v>
      </c>
      <c r="C137" s="1">
        <v>4754.5</v>
      </c>
      <c r="D137">
        <v>17017</v>
      </c>
      <c r="E137">
        <v>8.02</v>
      </c>
      <c r="F137">
        <v>1.8</v>
      </c>
      <c r="G137">
        <v>-6.04</v>
      </c>
    </row>
    <row r="138" spans="2:7" x14ac:dyDescent="0.3">
      <c r="B138" t="s">
        <v>137</v>
      </c>
      <c r="C138" s="1">
        <v>4990.5</v>
      </c>
      <c r="D138">
        <v>34112</v>
      </c>
      <c r="E138">
        <v>17.059999999999999</v>
      </c>
      <c r="F138">
        <v>-7.24</v>
      </c>
      <c r="G138">
        <v>-25.44</v>
      </c>
    </row>
    <row r="139" spans="2:7" x14ac:dyDescent="0.3">
      <c r="B139" t="s">
        <v>98</v>
      </c>
      <c r="C139" s="1">
        <v>5181</v>
      </c>
      <c r="D139">
        <v>106076</v>
      </c>
      <c r="E139">
        <v>54.88</v>
      </c>
      <c r="F139">
        <v>-8.56</v>
      </c>
      <c r="G139">
        <v>-3.69</v>
      </c>
    </row>
    <row r="140" spans="2:7" x14ac:dyDescent="0.3">
      <c r="B140" t="s">
        <v>25</v>
      </c>
      <c r="C140" s="1">
        <v>5333.5</v>
      </c>
      <c r="D140">
        <v>532099</v>
      </c>
      <c r="E140">
        <v>278.89</v>
      </c>
      <c r="F140">
        <v>-8.86</v>
      </c>
      <c r="G140">
        <v>-3.79</v>
      </c>
    </row>
    <row r="141" spans="2:7" x14ac:dyDescent="0.3">
      <c r="B141" t="s">
        <v>23</v>
      </c>
      <c r="C141" s="1">
        <v>5560</v>
      </c>
      <c r="D141">
        <v>599190</v>
      </c>
      <c r="E141">
        <v>325.39</v>
      </c>
      <c r="F141">
        <v>-1.02</v>
      </c>
      <c r="G141">
        <v>5.61</v>
      </c>
    </row>
    <row r="142" spans="2:7" x14ac:dyDescent="0.3">
      <c r="B142" t="s">
        <v>123</v>
      </c>
      <c r="C142" s="1">
        <v>6380</v>
      </c>
      <c r="D142">
        <v>45955</v>
      </c>
      <c r="E142">
        <v>29.42</v>
      </c>
      <c r="F142">
        <v>-11.11</v>
      </c>
      <c r="G142">
        <v>-2.1800000000000002</v>
      </c>
    </row>
    <row r="143" spans="2:7" x14ac:dyDescent="0.3">
      <c r="B143" t="s">
        <v>38</v>
      </c>
      <c r="C143" s="1">
        <v>8373.5</v>
      </c>
      <c r="D143">
        <v>198567</v>
      </c>
      <c r="E143">
        <v>165.81</v>
      </c>
      <c r="F143">
        <v>-9.3699999999999992</v>
      </c>
      <c r="G143">
        <v>16.14</v>
      </c>
    </row>
    <row r="144" spans="2:7" x14ac:dyDescent="0.3">
      <c r="B144" t="s">
        <v>35</v>
      </c>
      <c r="C144" s="1">
        <v>11780</v>
      </c>
      <c r="D144">
        <v>156426</v>
      </c>
      <c r="E144">
        <v>182.13</v>
      </c>
      <c r="F144">
        <v>-1.48</v>
      </c>
      <c r="G144">
        <v>38.24</v>
      </c>
    </row>
    <row r="145" spans="2:7" x14ac:dyDescent="0.3">
      <c r="B145" t="s">
        <v>13</v>
      </c>
      <c r="C145" s="1">
        <v>14100</v>
      </c>
      <c r="D145">
        <v>368566</v>
      </c>
      <c r="E145">
        <v>516.02</v>
      </c>
      <c r="F145">
        <v>-2.5</v>
      </c>
      <c r="G145">
        <v>-23.09</v>
      </c>
    </row>
    <row r="146" spans="2:7" x14ac:dyDescent="0.3">
      <c r="B146" t="s">
        <v>34</v>
      </c>
      <c r="C146" s="1">
        <v>17635</v>
      </c>
      <c r="D146">
        <v>105567</v>
      </c>
      <c r="E146">
        <v>185.66</v>
      </c>
      <c r="F146">
        <v>4.93</v>
      </c>
      <c r="G146">
        <v>119.52</v>
      </c>
    </row>
    <row r="147" spans="2:7" x14ac:dyDescent="0.3">
      <c r="B147" t="s">
        <v>140</v>
      </c>
      <c r="C147" s="1">
        <v>25555</v>
      </c>
      <c r="D147">
        <v>6053</v>
      </c>
      <c r="E147">
        <v>15.35</v>
      </c>
      <c r="F147">
        <v>-9.3000000000000007</v>
      </c>
      <c r="G147">
        <v>-17.579999999999998</v>
      </c>
    </row>
    <row r="148" spans="2:7" x14ac:dyDescent="0.3">
      <c r="B148" t="s">
        <v>24</v>
      </c>
      <c r="C148" s="1">
        <v>31135</v>
      </c>
      <c r="D148">
        <v>94112</v>
      </c>
      <c r="E148">
        <v>295.22000000000003</v>
      </c>
      <c r="F148">
        <v>-3.13</v>
      </c>
      <c r="G148">
        <v>67.569999999999993</v>
      </c>
    </row>
    <row r="149" spans="2:7" x14ac:dyDescent="0.3">
      <c r="B149" t="s">
        <v>155</v>
      </c>
      <c r="C149" s="1">
        <v>33145</v>
      </c>
      <c r="D149">
        <v>1275</v>
      </c>
      <c r="E149">
        <v>4.2</v>
      </c>
      <c r="F149">
        <v>-8.42</v>
      </c>
      <c r="G149">
        <v>7.04</v>
      </c>
    </row>
    <row r="150" spans="2:7" x14ac:dyDescent="0.3">
      <c r="B150" t="s">
        <v>143</v>
      </c>
      <c r="C150" s="1">
        <v>35060</v>
      </c>
      <c r="D150">
        <v>3890</v>
      </c>
      <c r="E150">
        <v>13.38</v>
      </c>
      <c r="F150">
        <v>-10.029999999999999</v>
      </c>
      <c r="G150">
        <v>-4.46</v>
      </c>
    </row>
    <row r="151" spans="2:7" x14ac:dyDescent="0.3">
      <c r="B151" t="s">
        <v>100</v>
      </c>
      <c r="C151" s="1">
        <v>35915</v>
      </c>
      <c r="D151">
        <v>15250</v>
      </c>
      <c r="E151">
        <v>54</v>
      </c>
      <c r="F151">
        <v>-11.29</v>
      </c>
      <c r="G151">
        <v>-20.12</v>
      </c>
    </row>
    <row r="152" spans="2:7" x14ac:dyDescent="0.3">
      <c r="B152" t="s">
        <v>112</v>
      </c>
      <c r="C152" s="1">
        <v>128245</v>
      </c>
      <c r="D152">
        <v>2834</v>
      </c>
      <c r="E152">
        <v>36.369999999999997</v>
      </c>
      <c r="F152">
        <v>-4.17</v>
      </c>
      <c r="G152">
        <v>-13.88</v>
      </c>
    </row>
  </sheetData>
  <sortState xmlns:xlrd2="http://schemas.microsoft.com/office/spreadsheetml/2017/richdata2" ref="B3:G152">
    <sortCondition ref="C3:C15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F783-FA8B-4F4E-8564-B7F51C7F3E03}">
  <dimension ref="B2:G147"/>
  <sheetViews>
    <sheetView showGridLines="0" workbookViewId="0">
      <selection activeCell="M20" sqref="M20"/>
    </sheetView>
  </sheetViews>
  <sheetFormatPr defaultRowHeight="14.4" x14ac:dyDescent="0.3"/>
  <cols>
    <col min="2" max="2" width="16.44140625" bestFit="1" customWidth="1"/>
    <col min="4" max="4" width="15.21875" bestFit="1" customWidth="1"/>
    <col min="5" max="5" width="14.88671875" bestFit="1" customWidth="1"/>
    <col min="6" max="6" width="11.44140625" bestFit="1" customWidth="1"/>
    <col min="7" max="7" width="12.44140625" bestFit="1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3">
      <c r="B3" t="s">
        <v>141</v>
      </c>
      <c r="C3">
        <v>84.01</v>
      </c>
      <c r="D3">
        <v>1812516</v>
      </c>
      <c r="E3">
        <v>15.07</v>
      </c>
      <c r="F3">
        <v>-3.31</v>
      </c>
      <c r="G3">
        <v>-25.83</v>
      </c>
    </row>
    <row r="4" spans="2:7" x14ac:dyDescent="0.3">
      <c r="B4" t="s">
        <v>52</v>
      </c>
      <c r="C4">
        <v>84.71</v>
      </c>
      <c r="D4">
        <v>14151248</v>
      </c>
      <c r="E4">
        <v>120.72</v>
      </c>
      <c r="F4">
        <v>1.04</v>
      </c>
      <c r="G4">
        <v>14.92</v>
      </c>
    </row>
    <row r="5" spans="2:7" x14ac:dyDescent="0.3">
      <c r="B5" t="s">
        <v>67</v>
      </c>
      <c r="C5">
        <v>84.79</v>
      </c>
      <c r="D5">
        <v>11713367</v>
      </c>
      <c r="E5">
        <v>98.61</v>
      </c>
      <c r="F5">
        <v>8.02</v>
      </c>
      <c r="G5">
        <v>61.4</v>
      </c>
    </row>
    <row r="6" spans="2:7" x14ac:dyDescent="0.3">
      <c r="B6" t="s">
        <v>37</v>
      </c>
      <c r="C6">
        <v>86.5</v>
      </c>
      <c r="D6">
        <v>20235616</v>
      </c>
      <c r="E6">
        <v>174.86</v>
      </c>
      <c r="F6">
        <v>1.63</v>
      </c>
      <c r="G6">
        <v>16.96</v>
      </c>
    </row>
    <row r="7" spans="2:7" x14ac:dyDescent="0.3">
      <c r="B7" t="s">
        <v>131</v>
      </c>
      <c r="C7">
        <v>88.44</v>
      </c>
      <c r="D7">
        <v>2698297</v>
      </c>
      <c r="E7">
        <v>23.88</v>
      </c>
      <c r="F7">
        <v>-3.78</v>
      </c>
      <c r="G7">
        <v>-14.65</v>
      </c>
    </row>
    <row r="8" spans="2:7" x14ac:dyDescent="0.3">
      <c r="B8" t="s">
        <v>55</v>
      </c>
      <c r="C8">
        <v>97</v>
      </c>
      <c r="D8">
        <v>11994804</v>
      </c>
      <c r="E8">
        <v>117.32</v>
      </c>
      <c r="F8">
        <v>-7.98</v>
      </c>
      <c r="G8">
        <v>13.63</v>
      </c>
    </row>
    <row r="9" spans="2:7" x14ac:dyDescent="0.3">
      <c r="B9" t="s">
        <v>83</v>
      </c>
      <c r="C9">
        <v>103.9</v>
      </c>
      <c r="D9">
        <v>6949596</v>
      </c>
      <c r="E9">
        <v>71.66</v>
      </c>
      <c r="F9">
        <v>-5.0999999999999996</v>
      </c>
      <c r="G9">
        <v>-32.64</v>
      </c>
    </row>
    <row r="10" spans="2:7" x14ac:dyDescent="0.3">
      <c r="B10" t="s">
        <v>125</v>
      </c>
      <c r="C10">
        <v>112.2</v>
      </c>
      <c r="D10">
        <v>2500536</v>
      </c>
      <c r="E10">
        <v>28.03</v>
      </c>
      <c r="F10">
        <v>-6.52</v>
      </c>
      <c r="G10">
        <v>-22.81</v>
      </c>
    </row>
    <row r="11" spans="2:7" x14ac:dyDescent="0.3">
      <c r="B11" t="s">
        <v>77</v>
      </c>
      <c r="C11">
        <v>140.86000000000001</v>
      </c>
      <c r="D11">
        <v>6061098</v>
      </c>
      <c r="E11">
        <v>85.57</v>
      </c>
      <c r="F11">
        <v>-2.72</v>
      </c>
      <c r="G11">
        <v>25.09</v>
      </c>
    </row>
    <row r="12" spans="2:7" x14ac:dyDescent="0.3">
      <c r="B12" t="s">
        <v>127</v>
      </c>
      <c r="C12">
        <v>156.84</v>
      </c>
      <c r="D12">
        <v>1636514</v>
      </c>
      <c r="E12">
        <v>25.51</v>
      </c>
      <c r="F12">
        <v>-8.8800000000000008</v>
      </c>
      <c r="G12">
        <v>-36.340000000000003</v>
      </c>
    </row>
    <row r="13" spans="2:7" x14ac:dyDescent="0.3">
      <c r="B13" t="s">
        <v>53</v>
      </c>
      <c r="C13">
        <v>169</v>
      </c>
      <c r="D13">
        <v>7197614</v>
      </c>
      <c r="E13">
        <v>120.59</v>
      </c>
      <c r="F13">
        <v>-5.92</v>
      </c>
      <c r="G13">
        <v>23.65</v>
      </c>
    </row>
    <row r="14" spans="2:7" x14ac:dyDescent="0.3">
      <c r="B14" t="s">
        <v>133</v>
      </c>
      <c r="C14">
        <v>178.26</v>
      </c>
      <c r="D14">
        <v>1174950</v>
      </c>
      <c r="E14">
        <v>20.75</v>
      </c>
      <c r="F14">
        <v>-12.7</v>
      </c>
      <c r="G14">
        <v>-18.690000000000001</v>
      </c>
    </row>
    <row r="15" spans="2:7" x14ac:dyDescent="0.3">
      <c r="B15" t="s">
        <v>26</v>
      </c>
      <c r="C15">
        <v>186.1</v>
      </c>
      <c r="D15">
        <v>13768193</v>
      </c>
      <c r="E15">
        <v>258.11</v>
      </c>
      <c r="F15">
        <v>5.56</v>
      </c>
      <c r="G15">
        <v>43.99</v>
      </c>
    </row>
    <row r="16" spans="2:7" x14ac:dyDescent="0.3">
      <c r="B16" t="s">
        <v>122</v>
      </c>
      <c r="C16">
        <v>187.52</v>
      </c>
      <c r="D16">
        <v>1594754</v>
      </c>
      <c r="E16">
        <v>29.76</v>
      </c>
      <c r="F16">
        <v>-4.71</v>
      </c>
      <c r="G16">
        <v>-26.74</v>
      </c>
    </row>
    <row r="17" spans="2:7" x14ac:dyDescent="0.3">
      <c r="B17" t="s">
        <v>18</v>
      </c>
      <c r="C17">
        <v>195.24</v>
      </c>
      <c r="D17">
        <v>20798963</v>
      </c>
      <c r="E17">
        <v>403.38</v>
      </c>
      <c r="F17">
        <v>2.0699999999999998</v>
      </c>
      <c r="G17">
        <v>0</v>
      </c>
    </row>
    <row r="18" spans="2:7" x14ac:dyDescent="0.3">
      <c r="B18" t="s">
        <v>29</v>
      </c>
      <c r="C18">
        <v>205.22</v>
      </c>
      <c r="D18">
        <v>10799389</v>
      </c>
      <c r="E18">
        <v>221.84</v>
      </c>
      <c r="F18">
        <v>16.37</v>
      </c>
      <c r="G18">
        <v>7.85</v>
      </c>
    </row>
    <row r="19" spans="2:7" x14ac:dyDescent="0.3">
      <c r="B19" t="s">
        <v>87</v>
      </c>
      <c r="C19">
        <v>207.5</v>
      </c>
      <c r="D19">
        <v>3171906</v>
      </c>
      <c r="E19">
        <v>65.89</v>
      </c>
      <c r="F19">
        <v>-11.3</v>
      </c>
      <c r="G19">
        <v>-37.729999999999997</v>
      </c>
    </row>
    <row r="20" spans="2:7" x14ac:dyDescent="0.3">
      <c r="B20" t="s">
        <v>47</v>
      </c>
      <c r="C20">
        <v>272.25</v>
      </c>
      <c r="D20">
        <v>4901961</v>
      </c>
      <c r="E20">
        <v>135.03</v>
      </c>
      <c r="F20">
        <v>-10.78</v>
      </c>
      <c r="G20">
        <v>13.64</v>
      </c>
    </row>
    <row r="21" spans="2:7" x14ac:dyDescent="0.3">
      <c r="B21" t="s">
        <v>11</v>
      </c>
      <c r="C21">
        <v>275.7</v>
      </c>
      <c r="D21">
        <v>23545618</v>
      </c>
      <c r="E21">
        <v>658.05</v>
      </c>
      <c r="F21">
        <v>0.71</v>
      </c>
      <c r="G21">
        <v>-35.25</v>
      </c>
    </row>
    <row r="22" spans="2:7" x14ac:dyDescent="0.3">
      <c r="B22" t="s">
        <v>119</v>
      </c>
      <c r="C22">
        <v>285.8</v>
      </c>
      <c r="D22">
        <v>1133536</v>
      </c>
      <c r="E22">
        <v>32.549999999999997</v>
      </c>
      <c r="F22">
        <v>1.89</v>
      </c>
      <c r="G22">
        <v>4.6900000000000004</v>
      </c>
    </row>
    <row r="23" spans="2:7" x14ac:dyDescent="0.3">
      <c r="B23" t="s">
        <v>71</v>
      </c>
      <c r="C23">
        <v>308.3</v>
      </c>
      <c r="D23">
        <v>2989428</v>
      </c>
      <c r="E23">
        <v>93.09</v>
      </c>
      <c r="F23">
        <v>0.78</v>
      </c>
      <c r="G23">
        <v>32.67</v>
      </c>
    </row>
    <row r="24" spans="2:7" x14ac:dyDescent="0.3">
      <c r="B24" t="s">
        <v>36</v>
      </c>
      <c r="C24">
        <v>332</v>
      </c>
      <c r="D24">
        <v>5359382</v>
      </c>
      <c r="E24">
        <v>181.07</v>
      </c>
      <c r="F24">
        <v>1.68</v>
      </c>
      <c r="G24">
        <v>9.06</v>
      </c>
    </row>
    <row r="25" spans="2:7" x14ac:dyDescent="0.3">
      <c r="B25" t="s">
        <v>45</v>
      </c>
      <c r="C25">
        <v>341</v>
      </c>
      <c r="D25">
        <v>4010750</v>
      </c>
      <c r="E25">
        <v>136.77000000000001</v>
      </c>
      <c r="F25">
        <v>3.31</v>
      </c>
      <c r="G25">
        <v>42.03</v>
      </c>
    </row>
    <row r="26" spans="2:7" x14ac:dyDescent="0.3">
      <c r="B26" t="s">
        <v>117</v>
      </c>
      <c r="C26">
        <v>342</v>
      </c>
      <c r="D26">
        <v>967972</v>
      </c>
      <c r="E26">
        <v>32.869999999999997</v>
      </c>
      <c r="F26">
        <v>-4.62</v>
      </c>
      <c r="G26">
        <v>-43.23</v>
      </c>
    </row>
    <row r="27" spans="2:7" x14ac:dyDescent="0.3">
      <c r="B27" t="s">
        <v>48</v>
      </c>
      <c r="C27">
        <v>344.15</v>
      </c>
      <c r="D27">
        <v>3903520</v>
      </c>
      <c r="E27">
        <v>134.27000000000001</v>
      </c>
      <c r="F27">
        <v>-3.16</v>
      </c>
      <c r="G27">
        <v>80.03</v>
      </c>
    </row>
    <row r="28" spans="2:7" x14ac:dyDescent="0.3">
      <c r="B28" t="s">
        <v>31</v>
      </c>
      <c r="C28">
        <v>347</v>
      </c>
      <c r="D28">
        <v>5786455</v>
      </c>
      <c r="E28">
        <v>201.98</v>
      </c>
      <c r="F28">
        <v>-11.23</v>
      </c>
      <c r="G28">
        <v>-10.52</v>
      </c>
    </row>
    <row r="29" spans="2:7" x14ac:dyDescent="0.3">
      <c r="B29" t="s">
        <v>108</v>
      </c>
      <c r="C29">
        <v>348.1</v>
      </c>
      <c r="D29">
        <v>1164539</v>
      </c>
      <c r="E29">
        <v>40.72</v>
      </c>
      <c r="F29">
        <v>-2.38</v>
      </c>
      <c r="G29">
        <v>-4.71</v>
      </c>
    </row>
    <row r="30" spans="2:7" x14ac:dyDescent="0.3">
      <c r="B30" t="s">
        <v>22</v>
      </c>
      <c r="C30">
        <v>371.05</v>
      </c>
      <c r="D30">
        <v>9139475</v>
      </c>
      <c r="E30">
        <v>347.17</v>
      </c>
      <c r="F30">
        <v>-0.89</v>
      </c>
      <c r="G30">
        <v>82.75</v>
      </c>
    </row>
    <row r="31" spans="2:7" x14ac:dyDescent="0.3">
      <c r="B31" t="s">
        <v>88</v>
      </c>
      <c r="C31">
        <v>373.05</v>
      </c>
      <c r="D31">
        <v>1765333</v>
      </c>
      <c r="E31">
        <v>65.81</v>
      </c>
      <c r="F31">
        <v>-3.19</v>
      </c>
      <c r="G31">
        <v>7.73</v>
      </c>
    </row>
    <row r="32" spans="2:7" x14ac:dyDescent="0.3">
      <c r="B32" t="s">
        <v>72</v>
      </c>
      <c r="C32">
        <v>374.35</v>
      </c>
      <c r="D32">
        <v>2529271</v>
      </c>
      <c r="E32">
        <v>92.73</v>
      </c>
      <c r="F32">
        <v>-10.75</v>
      </c>
      <c r="G32">
        <v>35.549999999999997</v>
      </c>
    </row>
    <row r="33" spans="2:7" x14ac:dyDescent="0.3">
      <c r="B33" t="s">
        <v>73</v>
      </c>
      <c r="C33">
        <v>375</v>
      </c>
      <c r="D33">
        <v>2451979</v>
      </c>
      <c r="E33">
        <v>90.78</v>
      </c>
      <c r="F33">
        <v>-9.3800000000000008</v>
      </c>
      <c r="G33">
        <v>-31.73</v>
      </c>
    </row>
    <row r="34" spans="2:7" x14ac:dyDescent="0.3">
      <c r="B34" t="s">
        <v>17</v>
      </c>
      <c r="C34">
        <v>392.3</v>
      </c>
      <c r="D34">
        <v>10271402</v>
      </c>
      <c r="E34">
        <v>408.66</v>
      </c>
      <c r="F34">
        <v>-7.35</v>
      </c>
      <c r="G34">
        <v>8.3699999999999992</v>
      </c>
    </row>
    <row r="35" spans="2:7" x14ac:dyDescent="0.3">
      <c r="B35" t="s">
        <v>78</v>
      </c>
      <c r="C35">
        <v>396.95</v>
      </c>
      <c r="D35">
        <v>2144020</v>
      </c>
      <c r="E35">
        <v>85.54</v>
      </c>
      <c r="F35">
        <v>-1.97</v>
      </c>
      <c r="G35">
        <v>38.07</v>
      </c>
    </row>
    <row r="36" spans="2:7" x14ac:dyDescent="0.3">
      <c r="B36" t="s">
        <v>28</v>
      </c>
      <c r="C36">
        <v>410.75</v>
      </c>
      <c r="D36">
        <v>5491468</v>
      </c>
      <c r="E36">
        <v>224.16</v>
      </c>
      <c r="F36">
        <v>3.43</v>
      </c>
      <c r="G36">
        <v>-6.83</v>
      </c>
    </row>
    <row r="37" spans="2:7" x14ac:dyDescent="0.3">
      <c r="B37" t="s">
        <v>132</v>
      </c>
      <c r="C37">
        <v>411.5</v>
      </c>
      <c r="D37">
        <v>540857</v>
      </c>
      <c r="E37">
        <v>22.64</v>
      </c>
      <c r="F37">
        <v>-5.39</v>
      </c>
      <c r="G37">
        <v>-12.55</v>
      </c>
    </row>
    <row r="38" spans="2:7" x14ac:dyDescent="0.3">
      <c r="B38" t="s">
        <v>75</v>
      </c>
      <c r="C38">
        <v>418.15</v>
      </c>
      <c r="D38">
        <v>2097228</v>
      </c>
      <c r="E38">
        <v>86.88</v>
      </c>
      <c r="F38">
        <v>-15.96</v>
      </c>
      <c r="G38">
        <v>-3.5</v>
      </c>
    </row>
    <row r="39" spans="2:7" x14ac:dyDescent="0.3">
      <c r="B39" t="s">
        <v>19</v>
      </c>
      <c r="C39">
        <v>422.15</v>
      </c>
      <c r="D39">
        <v>8487227</v>
      </c>
      <c r="E39">
        <v>365.73</v>
      </c>
      <c r="F39">
        <v>7.03</v>
      </c>
      <c r="G39">
        <v>102.17</v>
      </c>
    </row>
    <row r="40" spans="2:7" x14ac:dyDescent="0.3">
      <c r="B40" t="s">
        <v>107</v>
      </c>
      <c r="C40">
        <v>469.3</v>
      </c>
      <c r="D40">
        <v>942661</v>
      </c>
      <c r="E40">
        <v>43.41</v>
      </c>
      <c r="F40">
        <v>-7.69</v>
      </c>
      <c r="G40">
        <v>-22.68</v>
      </c>
    </row>
    <row r="41" spans="2:7" x14ac:dyDescent="0.3">
      <c r="B41" t="s">
        <v>120</v>
      </c>
      <c r="C41">
        <v>472.45</v>
      </c>
      <c r="D41">
        <v>687597</v>
      </c>
      <c r="E41">
        <v>32.35</v>
      </c>
      <c r="F41">
        <v>-9.6199999999999992</v>
      </c>
      <c r="G41">
        <v>-34.11</v>
      </c>
    </row>
    <row r="42" spans="2:7" x14ac:dyDescent="0.3">
      <c r="B42" t="s">
        <v>134</v>
      </c>
      <c r="C42">
        <v>479.45</v>
      </c>
      <c r="D42">
        <v>397752</v>
      </c>
      <c r="E42">
        <v>18.91</v>
      </c>
      <c r="F42">
        <v>-11.41</v>
      </c>
      <c r="G42">
        <v>-11.21</v>
      </c>
    </row>
    <row r="43" spans="2:7" x14ac:dyDescent="0.3">
      <c r="B43" t="s">
        <v>116</v>
      </c>
      <c r="C43">
        <v>480.4</v>
      </c>
      <c r="D43">
        <v>712724</v>
      </c>
      <c r="E43">
        <v>33.92</v>
      </c>
      <c r="F43">
        <v>-2.17</v>
      </c>
      <c r="G43">
        <v>-28.3</v>
      </c>
    </row>
    <row r="44" spans="2:7" x14ac:dyDescent="0.3">
      <c r="B44" t="s">
        <v>51</v>
      </c>
      <c r="C44">
        <v>495.4</v>
      </c>
      <c r="D44">
        <v>2471923</v>
      </c>
      <c r="E44">
        <v>123.65</v>
      </c>
      <c r="F44">
        <v>12.68</v>
      </c>
      <c r="G44">
        <v>27.1</v>
      </c>
    </row>
    <row r="45" spans="2:7" x14ac:dyDescent="0.3">
      <c r="B45" t="s">
        <v>101</v>
      </c>
      <c r="C45">
        <v>502</v>
      </c>
      <c r="D45">
        <v>1057889</v>
      </c>
      <c r="E45">
        <v>53.74</v>
      </c>
      <c r="F45">
        <v>0.95</v>
      </c>
      <c r="G45">
        <v>-5.83</v>
      </c>
    </row>
    <row r="46" spans="2:7" x14ac:dyDescent="0.3">
      <c r="B46" t="s">
        <v>151</v>
      </c>
      <c r="C46">
        <v>518.85</v>
      </c>
      <c r="D46">
        <v>138830</v>
      </c>
      <c r="E46">
        <v>7.12</v>
      </c>
      <c r="F46">
        <v>-9.49</v>
      </c>
      <c r="G46">
        <v>-32.22</v>
      </c>
    </row>
    <row r="47" spans="2:7" x14ac:dyDescent="0.3">
      <c r="B47" t="s">
        <v>153</v>
      </c>
      <c r="C47">
        <v>526.20000000000005</v>
      </c>
      <c r="D47">
        <v>100734</v>
      </c>
      <c r="E47">
        <v>5.2</v>
      </c>
      <c r="F47">
        <v>-13.69</v>
      </c>
      <c r="G47">
        <v>-17.25</v>
      </c>
    </row>
    <row r="48" spans="2:7" x14ac:dyDescent="0.3">
      <c r="B48" t="s">
        <v>56</v>
      </c>
      <c r="C48">
        <v>526.5</v>
      </c>
      <c r="D48">
        <v>2167753</v>
      </c>
      <c r="E48">
        <v>116.18</v>
      </c>
      <c r="F48">
        <v>-5.24</v>
      </c>
      <c r="G48">
        <v>5.67</v>
      </c>
    </row>
    <row r="49" spans="2:7" x14ac:dyDescent="0.3">
      <c r="B49" t="s">
        <v>89</v>
      </c>
      <c r="C49">
        <v>562</v>
      </c>
      <c r="D49">
        <v>1160555</v>
      </c>
      <c r="E49">
        <v>64.349999999999994</v>
      </c>
      <c r="F49">
        <v>-12.19</v>
      </c>
      <c r="G49">
        <v>-55.41</v>
      </c>
    </row>
    <row r="50" spans="2:7" x14ac:dyDescent="0.3">
      <c r="B50" t="s">
        <v>42</v>
      </c>
      <c r="C50">
        <v>563</v>
      </c>
      <c r="D50">
        <v>2616014</v>
      </c>
      <c r="E50">
        <v>145.72</v>
      </c>
      <c r="F50">
        <v>10.06</v>
      </c>
      <c r="G50">
        <v>-0.46</v>
      </c>
    </row>
    <row r="51" spans="2:7" x14ac:dyDescent="0.3">
      <c r="B51" t="s">
        <v>65</v>
      </c>
      <c r="C51">
        <v>576.75</v>
      </c>
      <c r="D51">
        <v>1763304</v>
      </c>
      <c r="E51">
        <v>101.02</v>
      </c>
      <c r="F51">
        <v>0.47</v>
      </c>
      <c r="G51">
        <v>-18.22</v>
      </c>
    </row>
    <row r="52" spans="2:7" x14ac:dyDescent="0.3">
      <c r="B52" t="s">
        <v>102</v>
      </c>
      <c r="C52">
        <v>609.4</v>
      </c>
      <c r="D52">
        <v>871019</v>
      </c>
      <c r="E52">
        <v>53.72</v>
      </c>
      <c r="F52">
        <v>-6.85</v>
      </c>
      <c r="G52">
        <v>3.01</v>
      </c>
    </row>
    <row r="53" spans="2:7" x14ac:dyDescent="0.3">
      <c r="B53" t="s">
        <v>16</v>
      </c>
      <c r="C53">
        <v>612.6</v>
      </c>
      <c r="D53">
        <v>7297816</v>
      </c>
      <c r="E53">
        <v>445.54</v>
      </c>
      <c r="F53">
        <v>0.21</v>
      </c>
      <c r="G53">
        <v>21.46</v>
      </c>
    </row>
    <row r="54" spans="2:7" x14ac:dyDescent="0.3">
      <c r="B54" t="s">
        <v>148</v>
      </c>
      <c r="C54">
        <v>622.04999999999995</v>
      </c>
      <c r="D54">
        <v>129846</v>
      </c>
      <c r="E54">
        <v>8.0299999999999994</v>
      </c>
      <c r="F54">
        <v>-10.220000000000001</v>
      </c>
      <c r="G54">
        <v>-6.93</v>
      </c>
    </row>
    <row r="55" spans="2:7" x14ac:dyDescent="0.3">
      <c r="B55" t="s">
        <v>41</v>
      </c>
      <c r="C55">
        <v>668</v>
      </c>
      <c r="D55">
        <v>2199393</v>
      </c>
      <c r="E55">
        <v>146.75</v>
      </c>
      <c r="F55">
        <v>1.43</v>
      </c>
      <c r="G55">
        <v>-18.420000000000002</v>
      </c>
    </row>
    <row r="56" spans="2:7" x14ac:dyDescent="0.3">
      <c r="B56" t="s">
        <v>124</v>
      </c>
      <c r="C56">
        <v>683.1</v>
      </c>
      <c r="D56">
        <v>424779</v>
      </c>
      <c r="E56">
        <v>28.69</v>
      </c>
      <c r="F56">
        <v>1.4</v>
      </c>
      <c r="G56">
        <v>-13.57</v>
      </c>
    </row>
    <row r="57" spans="2:7" x14ac:dyDescent="0.3">
      <c r="B57" t="s">
        <v>14</v>
      </c>
      <c r="C57">
        <v>695.75</v>
      </c>
      <c r="D57">
        <v>7262193</v>
      </c>
      <c r="E57">
        <v>502.24</v>
      </c>
      <c r="F57">
        <v>21.39</v>
      </c>
      <c r="G57">
        <v>0</v>
      </c>
    </row>
    <row r="58" spans="2:7" x14ac:dyDescent="0.3">
      <c r="B58" t="s">
        <v>15</v>
      </c>
      <c r="C58">
        <v>738.75</v>
      </c>
      <c r="D58">
        <v>6366585</v>
      </c>
      <c r="E58">
        <v>495.89</v>
      </c>
      <c r="F58">
        <v>7.02</v>
      </c>
      <c r="G58">
        <v>2.23</v>
      </c>
    </row>
    <row r="59" spans="2:7" x14ac:dyDescent="0.3">
      <c r="B59" t="s">
        <v>32</v>
      </c>
      <c r="C59">
        <v>823.9</v>
      </c>
      <c r="D59">
        <v>2389739</v>
      </c>
      <c r="E59">
        <v>194.32</v>
      </c>
      <c r="F59">
        <v>-5.58</v>
      </c>
      <c r="G59">
        <v>11.11</v>
      </c>
    </row>
    <row r="60" spans="2:7" x14ac:dyDescent="0.3">
      <c r="B60" t="s">
        <v>49</v>
      </c>
      <c r="C60">
        <v>859.9</v>
      </c>
      <c r="D60">
        <v>1463841</v>
      </c>
      <c r="E60">
        <v>125.54</v>
      </c>
      <c r="F60">
        <v>-3.69</v>
      </c>
      <c r="G60">
        <v>27.86</v>
      </c>
    </row>
    <row r="61" spans="2:7" x14ac:dyDescent="0.3">
      <c r="B61" t="s">
        <v>92</v>
      </c>
      <c r="C61">
        <v>908</v>
      </c>
      <c r="D61">
        <v>670656</v>
      </c>
      <c r="E61">
        <v>61.1</v>
      </c>
      <c r="F61">
        <v>-4.2</v>
      </c>
      <c r="G61">
        <v>-3.64</v>
      </c>
    </row>
    <row r="62" spans="2:7" x14ac:dyDescent="0.3">
      <c r="B62" t="s">
        <v>74</v>
      </c>
      <c r="C62">
        <v>957.8</v>
      </c>
      <c r="D62">
        <v>928217</v>
      </c>
      <c r="E62">
        <v>88.92</v>
      </c>
      <c r="F62">
        <v>12.25</v>
      </c>
      <c r="G62">
        <v>15.28</v>
      </c>
    </row>
    <row r="63" spans="2:7" x14ac:dyDescent="0.3">
      <c r="B63" t="s">
        <v>95</v>
      </c>
      <c r="C63">
        <v>988.8</v>
      </c>
      <c r="D63">
        <v>583491</v>
      </c>
      <c r="E63">
        <v>57.47</v>
      </c>
      <c r="F63">
        <v>-6.81</v>
      </c>
      <c r="G63">
        <v>-2.27</v>
      </c>
    </row>
    <row r="64" spans="2:7" x14ac:dyDescent="0.3">
      <c r="B64" t="s">
        <v>66</v>
      </c>
      <c r="C64">
        <v>997.7</v>
      </c>
      <c r="D64">
        <v>996411</v>
      </c>
      <c r="E64">
        <v>99.96</v>
      </c>
      <c r="F64">
        <v>-1.76</v>
      </c>
      <c r="G64">
        <v>34.56</v>
      </c>
    </row>
    <row r="65" spans="2:7" x14ac:dyDescent="0.3">
      <c r="B65" t="s">
        <v>104</v>
      </c>
      <c r="C65" s="1">
        <v>1051.5</v>
      </c>
      <c r="D65">
        <v>489071</v>
      </c>
      <c r="E65">
        <v>50.47</v>
      </c>
      <c r="F65">
        <v>17.82</v>
      </c>
      <c r="G65">
        <v>15.85</v>
      </c>
    </row>
    <row r="66" spans="2:7" x14ac:dyDescent="0.3">
      <c r="B66" t="s">
        <v>44</v>
      </c>
      <c r="C66" s="1">
        <v>1073.7</v>
      </c>
      <c r="D66">
        <v>1294481</v>
      </c>
      <c r="E66">
        <v>138.33000000000001</v>
      </c>
      <c r="F66">
        <v>-0.61</v>
      </c>
      <c r="G66">
        <v>52.05</v>
      </c>
    </row>
    <row r="67" spans="2:7" x14ac:dyDescent="0.3">
      <c r="B67" t="s">
        <v>68</v>
      </c>
      <c r="C67" s="1">
        <v>1110</v>
      </c>
      <c r="D67">
        <v>869898</v>
      </c>
      <c r="E67">
        <v>95.72</v>
      </c>
      <c r="F67">
        <v>-6.91</v>
      </c>
      <c r="G67">
        <v>4.17</v>
      </c>
    </row>
    <row r="68" spans="2:7" x14ac:dyDescent="0.3">
      <c r="B68" t="s">
        <v>126</v>
      </c>
      <c r="C68" s="1">
        <v>1135</v>
      </c>
      <c r="D68">
        <v>239559</v>
      </c>
      <c r="E68">
        <v>27.29</v>
      </c>
      <c r="F68">
        <v>6.16</v>
      </c>
      <c r="G68">
        <v>14.7</v>
      </c>
    </row>
    <row r="69" spans="2:7" x14ac:dyDescent="0.3">
      <c r="B69" t="s">
        <v>85</v>
      </c>
      <c r="C69" s="1">
        <v>1140</v>
      </c>
      <c r="D69">
        <v>608049</v>
      </c>
      <c r="E69">
        <v>68.56</v>
      </c>
      <c r="F69">
        <v>-13.01</v>
      </c>
      <c r="G69">
        <v>-29.41</v>
      </c>
    </row>
    <row r="70" spans="2:7" x14ac:dyDescent="0.3">
      <c r="B70" t="s">
        <v>154</v>
      </c>
      <c r="C70" s="1">
        <v>1144</v>
      </c>
      <c r="D70">
        <v>45380</v>
      </c>
      <c r="E70">
        <v>5.14</v>
      </c>
      <c r="F70">
        <v>-14.07</v>
      </c>
      <c r="G70">
        <v>-7.36</v>
      </c>
    </row>
    <row r="71" spans="2:7" x14ac:dyDescent="0.3">
      <c r="B71" t="s">
        <v>99</v>
      </c>
      <c r="C71" s="1">
        <v>1144.8</v>
      </c>
      <c r="D71">
        <v>475069</v>
      </c>
      <c r="E71">
        <v>54.21</v>
      </c>
      <c r="F71">
        <v>-10.99</v>
      </c>
      <c r="G71">
        <v>-19.010000000000002</v>
      </c>
    </row>
    <row r="72" spans="2:7" x14ac:dyDescent="0.3">
      <c r="B72" t="s">
        <v>84</v>
      </c>
      <c r="C72" s="1">
        <v>1188.9000000000001</v>
      </c>
      <c r="D72">
        <v>588058</v>
      </c>
      <c r="E72">
        <v>68.75</v>
      </c>
      <c r="F72">
        <v>-0.95</v>
      </c>
      <c r="G72">
        <v>44.31</v>
      </c>
    </row>
    <row r="73" spans="2:7" x14ac:dyDescent="0.3">
      <c r="C73" s="1"/>
    </row>
    <row r="74" spans="2:7" x14ac:dyDescent="0.3">
      <c r="C74" s="1"/>
    </row>
    <row r="75" spans="2:7" x14ac:dyDescent="0.3">
      <c r="C75" s="1"/>
    </row>
    <row r="76" spans="2:7" x14ac:dyDescent="0.3">
      <c r="C76" s="1"/>
    </row>
    <row r="77" spans="2:7" x14ac:dyDescent="0.3">
      <c r="C77" s="1"/>
    </row>
    <row r="78" spans="2:7" x14ac:dyDescent="0.3">
      <c r="C78" s="1"/>
    </row>
    <row r="79" spans="2:7" x14ac:dyDescent="0.3">
      <c r="C79" s="1"/>
    </row>
    <row r="80" spans="2:7" x14ac:dyDescent="0.3">
      <c r="C80" s="1"/>
    </row>
    <row r="81" spans="3:5" x14ac:dyDescent="0.3">
      <c r="C81" s="1"/>
    </row>
    <row r="82" spans="3:5" x14ac:dyDescent="0.3">
      <c r="C82" s="1"/>
    </row>
    <row r="83" spans="3:5" x14ac:dyDescent="0.3">
      <c r="C83" s="1"/>
    </row>
    <row r="84" spans="3:5" x14ac:dyDescent="0.3">
      <c r="C84" s="1"/>
    </row>
    <row r="85" spans="3:5" x14ac:dyDescent="0.3">
      <c r="C85" s="1"/>
    </row>
    <row r="86" spans="3:5" x14ac:dyDescent="0.3">
      <c r="C86" s="1"/>
    </row>
    <row r="87" spans="3:5" x14ac:dyDescent="0.3">
      <c r="C87" s="1"/>
      <c r="E87" s="1"/>
    </row>
    <row r="88" spans="3:5" x14ac:dyDescent="0.3">
      <c r="C88" s="1"/>
    </row>
    <row r="89" spans="3:5" x14ac:dyDescent="0.3">
      <c r="C89" s="1"/>
    </row>
    <row r="90" spans="3:5" x14ac:dyDescent="0.3">
      <c r="C90" s="1"/>
    </row>
    <row r="91" spans="3:5" x14ac:dyDescent="0.3">
      <c r="C91" s="1"/>
    </row>
    <row r="92" spans="3:5" x14ac:dyDescent="0.3">
      <c r="C92" s="1"/>
    </row>
    <row r="93" spans="3:5" x14ac:dyDescent="0.3">
      <c r="C93" s="1"/>
    </row>
    <row r="94" spans="3:5" x14ac:dyDescent="0.3">
      <c r="C94" s="1"/>
    </row>
    <row r="95" spans="3:5" x14ac:dyDescent="0.3">
      <c r="C95" s="1"/>
    </row>
    <row r="96" spans="3:5" x14ac:dyDescent="0.3">
      <c r="C96" s="1"/>
    </row>
    <row r="97" spans="3:5" x14ac:dyDescent="0.3">
      <c r="C97" s="1"/>
    </row>
    <row r="98" spans="3:5" x14ac:dyDescent="0.3">
      <c r="C98" s="1"/>
    </row>
    <row r="99" spans="3:5" x14ac:dyDescent="0.3">
      <c r="C99" s="1"/>
      <c r="E99" s="1"/>
    </row>
    <row r="100" spans="3:5" x14ac:dyDescent="0.3">
      <c r="C100" s="1"/>
    </row>
    <row r="101" spans="3:5" x14ac:dyDescent="0.3">
      <c r="C101" s="1"/>
    </row>
    <row r="102" spans="3:5" x14ac:dyDescent="0.3">
      <c r="C102" s="1"/>
    </row>
    <row r="103" spans="3:5" x14ac:dyDescent="0.3">
      <c r="C103" s="1"/>
    </row>
    <row r="104" spans="3:5" x14ac:dyDescent="0.3">
      <c r="C104" s="1"/>
    </row>
    <row r="105" spans="3:5" x14ac:dyDescent="0.3">
      <c r="C105" s="1"/>
    </row>
    <row r="106" spans="3:5" x14ac:dyDescent="0.3">
      <c r="C106" s="1"/>
    </row>
    <row r="107" spans="3:5" x14ac:dyDescent="0.3">
      <c r="C107" s="1"/>
    </row>
    <row r="108" spans="3:5" x14ac:dyDescent="0.3">
      <c r="C108" s="1"/>
    </row>
    <row r="109" spans="3:5" x14ac:dyDescent="0.3">
      <c r="C109" s="1"/>
    </row>
    <row r="110" spans="3:5" x14ac:dyDescent="0.3">
      <c r="C110" s="1"/>
    </row>
    <row r="111" spans="3:5" x14ac:dyDescent="0.3">
      <c r="C111" s="1"/>
    </row>
    <row r="112" spans="3:5" x14ac:dyDescent="0.3">
      <c r="C112" s="1"/>
    </row>
    <row r="113" spans="3:5" x14ac:dyDescent="0.3">
      <c r="C113" s="1"/>
    </row>
    <row r="114" spans="3:5" x14ac:dyDescent="0.3">
      <c r="C114" s="1"/>
    </row>
    <row r="115" spans="3:5" x14ac:dyDescent="0.3">
      <c r="C115" s="1"/>
    </row>
    <row r="116" spans="3:5" x14ac:dyDescent="0.3">
      <c r="C116" s="1"/>
    </row>
    <row r="117" spans="3:5" x14ac:dyDescent="0.3">
      <c r="C117" s="1"/>
    </row>
    <row r="118" spans="3:5" x14ac:dyDescent="0.3">
      <c r="C118" s="1"/>
    </row>
    <row r="119" spans="3:5" x14ac:dyDescent="0.3">
      <c r="C119" s="1"/>
    </row>
    <row r="120" spans="3:5" x14ac:dyDescent="0.3">
      <c r="C120" s="1"/>
      <c r="E120" s="1"/>
    </row>
    <row r="121" spans="3:5" x14ac:dyDescent="0.3">
      <c r="C121" s="1"/>
    </row>
    <row r="122" spans="3:5" x14ac:dyDescent="0.3">
      <c r="C122" s="1"/>
    </row>
    <row r="123" spans="3:5" x14ac:dyDescent="0.3">
      <c r="C123" s="1"/>
    </row>
    <row r="124" spans="3:5" x14ac:dyDescent="0.3">
      <c r="C124" s="1"/>
    </row>
    <row r="125" spans="3:5" x14ac:dyDescent="0.3">
      <c r="C125" s="1"/>
    </row>
    <row r="126" spans="3:5" x14ac:dyDescent="0.3">
      <c r="C126" s="1"/>
    </row>
    <row r="127" spans="3:5" x14ac:dyDescent="0.3">
      <c r="C127" s="1"/>
    </row>
    <row r="128" spans="3:5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299A-47A6-47D8-8296-47D5A2F54AB8}">
  <dimension ref="B2:G316"/>
  <sheetViews>
    <sheetView showGridLines="0" workbookViewId="0">
      <selection activeCell="H10" sqref="H10"/>
    </sheetView>
  </sheetViews>
  <sheetFormatPr defaultRowHeight="14.4" x14ac:dyDescent="0.3"/>
  <cols>
    <col min="2" max="2" width="13.5546875" bestFit="1" customWidth="1"/>
    <col min="3" max="3" width="11.77734375" bestFit="1" customWidth="1"/>
    <col min="4" max="4" width="15.77734375" bestFit="1" customWidth="1"/>
    <col min="5" max="5" width="15.33203125" bestFit="1" customWidth="1"/>
    <col min="6" max="6" width="11.44140625" bestFit="1" customWidth="1"/>
    <col min="7" max="7" width="12.44140625" bestFit="1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3">
      <c r="B3" t="s">
        <v>156</v>
      </c>
      <c r="C3">
        <v>101.19</v>
      </c>
      <c r="D3">
        <v>1060583</v>
      </c>
      <c r="E3">
        <v>10.68</v>
      </c>
      <c r="F3">
        <v>-15.22</v>
      </c>
      <c r="G3">
        <v>-42.55</v>
      </c>
    </row>
    <row r="4" spans="2:7" x14ac:dyDescent="0.3">
      <c r="B4" t="s">
        <v>157</v>
      </c>
      <c r="C4">
        <v>105.73</v>
      </c>
      <c r="D4">
        <v>3466400</v>
      </c>
      <c r="E4">
        <v>36.78</v>
      </c>
      <c r="F4">
        <v>-4.08</v>
      </c>
      <c r="G4">
        <v>-39.71</v>
      </c>
    </row>
    <row r="5" spans="2:7" x14ac:dyDescent="0.3">
      <c r="B5" t="s">
        <v>158</v>
      </c>
      <c r="C5">
        <v>109.91</v>
      </c>
      <c r="D5">
        <v>809014</v>
      </c>
      <c r="E5">
        <v>8.7899999999999991</v>
      </c>
      <c r="F5">
        <v>4.67</v>
      </c>
      <c r="G5">
        <v>-38.31</v>
      </c>
    </row>
    <row r="6" spans="2:7" x14ac:dyDescent="0.3">
      <c r="B6" t="s">
        <v>159</v>
      </c>
      <c r="C6">
        <v>112.27</v>
      </c>
      <c r="D6">
        <v>308878</v>
      </c>
      <c r="E6">
        <v>3.47</v>
      </c>
      <c r="F6">
        <v>0.78</v>
      </c>
      <c r="G6">
        <v>-22.83</v>
      </c>
    </row>
    <row r="7" spans="2:7" x14ac:dyDescent="0.3">
      <c r="B7" t="s">
        <v>160</v>
      </c>
      <c r="C7">
        <v>113.73</v>
      </c>
      <c r="D7">
        <v>668920</v>
      </c>
      <c r="E7">
        <v>7.54</v>
      </c>
      <c r="F7">
        <v>-11.27</v>
      </c>
      <c r="G7">
        <v>-25.67</v>
      </c>
    </row>
    <row r="8" spans="2:7" x14ac:dyDescent="0.3">
      <c r="B8" t="s">
        <v>161</v>
      </c>
      <c r="C8">
        <v>114.27</v>
      </c>
      <c r="D8">
        <v>473674</v>
      </c>
      <c r="E8">
        <v>5.38</v>
      </c>
      <c r="F8">
        <v>-4.08</v>
      </c>
      <c r="G8">
        <v>-38.520000000000003</v>
      </c>
    </row>
    <row r="9" spans="2:7" x14ac:dyDescent="0.3">
      <c r="B9" t="s">
        <v>162</v>
      </c>
      <c r="C9">
        <v>115.58</v>
      </c>
      <c r="D9">
        <v>321602</v>
      </c>
      <c r="E9">
        <v>3.71</v>
      </c>
      <c r="F9">
        <v>-16.3</v>
      </c>
      <c r="G9">
        <v>-19.05</v>
      </c>
    </row>
    <row r="10" spans="2:7" x14ac:dyDescent="0.3">
      <c r="B10" t="s">
        <v>163</v>
      </c>
      <c r="C10">
        <v>116.54</v>
      </c>
      <c r="D10">
        <v>3287242</v>
      </c>
      <c r="E10">
        <v>38.69</v>
      </c>
      <c r="F10">
        <v>-7.2</v>
      </c>
      <c r="G10">
        <v>-17.440000000000001</v>
      </c>
    </row>
    <row r="11" spans="2:7" x14ac:dyDescent="0.3">
      <c r="B11" t="s">
        <v>164</v>
      </c>
      <c r="C11">
        <v>116.89</v>
      </c>
      <c r="D11">
        <v>1372933</v>
      </c>
      <c r="E11">
        <v>15.92</v>
      </c>
      <c r="F11">
        <v>-12.34</v>
      </c>
      <c r="G11">
        <v>-33.700000000000003</v>
      </c>
    </row>
    <row r="12" spans="2:7" x14ac:dyDescent="0.3">
      <c r="B12" t="s">
        <v>165</v>
      </c>
      <c r="C12">
        <v>118.26</v>
      </c>
      <c r="D12">
        <v>1397158</v>
      </c>
      <c r="E12">
        <v>16.260000000000002</v>
      </c>
      <c r="F12">
        <v>5.95</v>
      </c>
      <c r="G12">
        <v>-17.98</v>
      </c>
    </row>
    <row r="13" spans="2:7" x14ac:dyDescent="0.3">
      <c r="B13" t="s">
        <v>166</v>
      </c>
      <c r="C13">
        <v>119.72</v>
      </c>
      <c r="D13">
        <v>1894420</v>
      </c>
      <c r="E13">
        <v>23.15</v>
      </c>
      <c r="F13">
        <v>-12.21</v>
      </c>
      <c r="G13">
        <v>-37.479999999999997</v>
      </c>
    </row>
    <row r="14" spans="2:7" x14ac:dyDescent="0.3">
      <c r="B14" t="s">
        <v>167</v>
      </c>
      <c r="C14">
        <v>121.62</v>
      </c>
      <c r="D14">
        <v>1069054</v>
      </c>
      <c r="E14">
        <v>12.94</v>
      </c>
      <c r="F14">
        <v>-10.17</v>
      </c>
      <c r="G14">
        <v>-18.79</v>
      </c>
    </row>
    <row r="15" spans="2:7" x14ac:dyDescent="0.3">
      <c r="B15" t="s">
        <v>168</v>
      </c>
      <c r="C15">
        <v>124.41</v>
      </c>
      <c r="D15">
        <v>310633</v>
      </c>
      <c r="E15">
        <v>3.83</v>
      </c>
      <c r="F15">
        <v>-10.68</v>
      </c>
      <c r="G15">
        <v>-30.82</v>
      </c>
    </row>
    <row r="16" spans="2:7" x14ac:dyDescent="0.3">
      <c r="B16" t="s">
        <v>169</v>
      </c>
      <c r="C16">
        <v>126.42</v>
      </c>
      <c r="D16">
        <v>241975</v>
      </c>
      <c r="E16">
        <v>3.06</v>
      </c>
      <c r="F16">
        <v>-7.66</v>
      </c>
      <c r="G16">
        <v>-43.24</v>
      </c>
    </row>
    <row r="17" spans="2:7" x14ac:dyDescent="0.3">
      <c r="B17" t="s">
        <v>170</v>
      </c>
      <c r="C17">
        <v>126.63</v>
      </c>
      <c r="D17">
        <v>4582078</v>
      </c>
      <c r="E17">
        <v>57.47</v>
      </c>
      <c r="F17">
        <v>-4.7699999999999996</v>
      </c>
      <c r="G17">
        <v>0</v>
      </c>
    </row>
    <row r="18" spans="2:7" x14ac:dyDescent="0.3">
      <c r="B18" t="s">
        <v>171</v>
      </c>
      <c r="C18">
        <v>127.23</v>
      </c>
      <c r="D18">
        <v>635388</v>
      </c>
      <c r="E18">
        <v>7.98</v>
      </c>
      <c r="F18">
        <v>-6.76</v>
      </c>
      <c r="G18">
        <v>-4.79</v>
      </c>
    </row>
    <row r="19" spans="2:7" x14ac:dyDescent="0.3">
      <c r="B19" t="s">
        <v>172</v>
      </c>
      <c r="C19">
        <v>128.47</v>
      </c>
      <c r="D19">
        <v>1812839</v>
      </c>
      <c r="E19">
        <v>23.01</v>
      </c>
      <c r="F19">
        <v>-0.52</v>
      </c>
      <c r="G19">
        <v>-33.520000000000003</v>
      </c>
    </row>
    <row r="20" spans="2:7" x14ac:dyDescent="0.3">
      <c r="B20" t="s">
        <v>173</v>
      </c>
      <c r="C20">
        <v>128.91999999999999</v>
      </c>
      <c r="D20">
        <v>1789554</v>
      </c>
      <c r="E20">
        <v>23.02</v>
      </c>
      <c r="F20">
        <v>-11.16</v>
      </c>
      <c r="G20">
        <v>16.97</v>
      </c>
    </row>
    <row r="21" spans="2:7" x14ac:dyDescent="0.3">
      <c r="B21" t="s">
        <v>174</v>
      </c>
      <c r="C21">
        <v>131.53</v>
      </c>
      <c r="D21">
        <v>519332</v>
      </c>
      <c r="E21">
        <v>6.72</v>
      </c>
      <c r="F21">
        <v>-0.96</v>
      </c>
      <c r="G21">
        <v>-16.75</v>
      </c>
    </row>
    <row r="22" spans="2:7" x14ac:dyDescent="0.3">
      <c r="B22" t="s">
        <v>174</v>
      </c>
      <c r="C22">
        <v>131.53</v>
      </c>
      <c r="D22">
        <v>519332</v>
      </c>
      <c r="E22">
        <v>6.72</v>
      </c>
      <c r="F22">
        <v>-0.96</v>
      </c>
      <c r="G22">
        <v>-16.75</v>
      </c>
    </row>
    <row r="23" spans="2:7" x14ac:dyDescent="0.3">
      <c r="B23" t="s">
        <v>175</v>
      </c>
      <c r="C23">
        <v>137.99</v>
      </c>
      <c r="D23">
        <v>859550</v>
      </c>
      <c r="E23">
        <v>11.87</v>
      </c>
      <c r="F23">
        <v>2.0499999999999998</v>
      </c>
      <c r="G23">
        <v>-26.21</v>
      </c>
    </row>
    <row r="24" spans="2:7" x14ac:dyDescent="0.3">
      <c r="B24" t="s">
        <v>176</v>
      </c>
      <c r="C24">
        <v>138.80000000000001</v>
      </c>
      <c r="D24">
        <v>7709484</v>
      </c>
      <c r="E24">
        <v>104.71</v>
      </c>
      <c r="F24">
        <v>12.03</v>
      </c>
      <c r="G24">
        <v>15.06</v>
      </c>
    </row>
    <row r="25" spans="2:7" x14ac:dyDescent="0.3">
      <c r="B25" t="s">
        <v>177</v>
      </c>
      <c r="C25">
        <v>146.05000000000001</v>
      </c>
      <c r="D25">
        <v>7429488</v>
      </c>
      <c r="E25">
        <v>111.89</v>
      </c>
      <c r="F25">
        <v>-8.66</v>
      </c>
      <c r="G25">
        <v>-5.26</v>
      </c>
    </row>
    <row r="26" spans="2:7" x14ac:dyDescent="0.3">
      <c r="B26" t="s">
        <v>178</v>
      </c>
      <c r="C26">
        <v>147.03</v>
      </c>
      <c r="D26">
        <v>1426459</v>
      </c>
      <c r="E26">
        <v>20.83</v>
      </c>
      <c r="F26">
        <v>-8.31</v>
      </c>
      <c r="G26">
        <v>45.75</v>
      </c>
    </row>
    <row r="27" spans="2:7" x14ac:dyDescent="0.3">
      <c r="B27" t="s">
        <v>179</v>
      </c>
      <c r="C27">
        <v>148.65</v>
      </c>
      <c r="D27">
        <v>1300153</v>
      </c>
      <c r="E27">
        <v>19.09</v>
      </c>
      <c r="F27">
        <v>-0.08</v>
      </c>
      <c r="G27">
        <v>-29.28</v>
      </c>
    </row>
    <row r="28" spans="2:7" x14ac:dyDescent="0.3">
      <c r="B28" t="s">
        <v>180</v>
      </c>
      <c r="C28">
        <v>153</v>
      </c>
      <c r="D28">
        <v>4799914</v>
      </c>
      <c r="E28">
        <v>72.45</v>
      </c>
      <c r="F28">
        <v>-7.91</v>
      </c>
      <c r="G28">
        <v>10.23</v>
      </c>
    </row>
    <row r="29" spans="2:7" x14ac:dyDescent="0.3">
      <c r="B29" t="s">
        <v>181</v>
      </c>
      <c r="C29">
        <v>153.05000000000001</v>
      </c>
      <c r="D29">
        <v>614979</v>
      </c>
      <c r="E29">
        <v>9.36</v>
      </c>
      <c r="F29">
        <v>19.25</v>
      </c>
      <c r="G29">
        <v>0</v>
      </c>
    </row>
    <row r="30" spans="2:7" x14ac:dyDescent="0.3">
      <c r="B30" t="s">
        <v>182</v>
      </c>
      <c r="C30">
        <v>154.02000000000001</v>
      </c>
      <c r="D30">
        <v>978960</v>
      </c>
      <c r="E30">
        <v>15.05</v>
      </c>
      <c r="F30">
        <v>0.83</v>
      </c>
      <c r="G30">
        <v>-26.8</v>
      </c>
    </row>
    <row r="31" spans="2:7" x14ac:dyDescent="0.3">
      <c r="B31" t="s">
        <v>183</v>
      </c>
      <c r="C31">
        <v>154.16</v>
      </c>
      <c r="D31">
        <v>641692</v>
      </c>
      <c r="E31">
        <v>9.65</v>
      </c>
      <c r="F31">
        <v>-2.36</v>
      </c>
      <c r="G31">
        <v>0</v>
      </c>
    </row>
    <row r="32" spans="2:7" x14ac:dyDescent="0.3">
      <c r="B32" t="s">
        <v>184</v>
      </c>
      <c r="C32">
        <v>154.19999999999999</v>
      </c>
      <c r="D32">
        <v>1062150</v>
      </c>
      <c r="E32">
        <v>16.3</v>
      </c>
      <c r="F32">
        <v>-24.55</v>
      </c>
      <c r="G32">
        <v>-12.62</v>
      </c>
    </row>
    <row r="33" spans="2:7" x14ac:dyDescent="0.3">
      <c r="B33" t="s">
        <v>185</v>
      </c>
      <c r="C33">
        <v>155.61000000000001</v>
      </c>
      <c r="D33">
        <v>989725</v>
      </c>
      <c r="E33">
        <v>15.2</v>
      </c>
      <c r="F33">
        <v>-12.86</v>
      </c>
      <c r="G33">
        <v>-30.66</v>
      </c>
    </row>
    <row r="34" spans="2:7" x14ac:dyDescent="0.3">
      <c r="B34" t="s">
        <v>186</v>
      </c>
      <c r="C34">
        <v>157.86000000000001</v>
      </c>
      <c r="D34">
        <v>277310</v>
      </c>
      <c r="E34">
        <v>4.3499999999999996</v>
      </c>
      <c r="F34">
        <v>-4.87</v>
      </c>
      <c r="G34">
        <v>-25.29</v>
      </c>
    </row>
    <row r="35" spans="2:7" x14ac:dyDescent="0.3">
      <c r="B35" t="s">
        <v>187</v>
      </c>
      <c r="C35">
        <v>159.79</v>
      </c>
      <c r="D35">
        <v>1680376</v>
      </c>
      <c r="E35">
        <v>26.62</v>
      </c>
      <c r="F35">
        <v>5.59</v>
      </c>
      <c r="G35">
        <v>-13.79</v>
      </c>
    </row>
    <row r="36" spans="2:7" x14ac:dyDescent="0.3">
      <c r="B36" t="s">
        <v>188</v>
      </c>
      <c r="C36">
        <v>160.58000000000001</v>
      </c>
      <c r="D36">
        <v>1549197</v>
      </c>
      <c r="E36">
        <v>24.85</v>
      </c>
      <c r="F36">
        <v>4.53</v>
      </c>
      <c r="G36">
        <v>5.23</v>
      </c>
    </row>
    <row r="37" spans="2:7" x14ac:dyDescent="0.3">
      <c r="B37" t="s">
        <v>189</v>
      </c>
      <c r="C37">
        <v>160.81</v>
      </c>
      <c r="D37">
        <v>1931299</v>
      </c>
      <c r="E37">
        <v>30.91</v>
      </c>
      <c r="F37">
        <v>-0.82</v>
      </c>
      <c r="G37">
        <v>-21.49</v>
      </c>
    </row>
    <row r="38" spans="2:7" x14ac:dyDescent="0.3">
      <c r="B38" t="s">
        <v>190</v>
      </c>
      <c r="C38">
        <v>162.30000000000001</v>
      </c>
      <c r="D38">
        <v>903186</v>
      </c>
      <c r="E38">
        <v>14.34</v>
      </c>
      <c r="F38">
        <v>5.28</v>
      </c>
      <c r="G38">
        <v>10.1</v>
      </c>
    </row>
    <row r="39" spans="2:7" x14ac:dyDescent="0.3">
      <c r="B39" t="s">
        <v>191</v>
      </c>
      <c r="C39">
        <v>167.3</v>
      </c>
      <c r="D39">
        <v>562238</v>
      </c>
      <c r="E39">
        <v>9.3699999999999992</v>
      </c>
      <c r="F39">
        <v>-1.61</v>
      </c>
      <c r="G39">
        <v>57.63</v>
      </c>
    </row>
    <row r="40" spans="2:7" x14ac:dyDescent="0.3">
      <c r="B40" t="s">
        <v>192</v>
      </c>
      <c r="C40">
        <v>169.28</v>
      </c>
      <c r="D40">
        <v>1713809</v>
      </c>
      <c r="E40">
        <v>28.62</v>
      </c>
      <c r="F40">
        <v>1.55</v>
      </c>
      <c r="G40">
        <v>-53.72</v>
      </c>
    </row>
    <row r="41" spans="2:7" x14ac:dyDescent="0.3">
      <c r="B41" t="s">
        <v>193</v>
      </c>
      <c r="C41">
        <v>169.55</v>
      </c>
      <c r="D41">
        <v>40668170</v>
      </c>
      <c r="E41">
        <v>707.14</v>
      </c>
      <c r="F41">
        <v>13.34</v>
      </c>
      <c r="G41">
        <v>0</v>
      </c>
    </row>
    <row r="42" spans="2:7" x14ac:dyDescent="0.3">
      <c r="B42" t="s">
        <v>194</v>
      </c>
      <c r="C42">
        <v>169.96</v>
      </c>
      <c r="D42">
        <v>1901710</v>
      </c>
      <c r="E42">
        <v>31.77</v>
      </c>
      <c r="F42">
        <v>-5</v>
      </c>
      <c r="G42">
        <v>-44.19</v>
      </c>
    </row>
    <row r="43" spans="2:7" x14ac:dyDescent="0.3">
      <c r="B43" t="s">
        <v>195</v>
      </c>
      <c r="C43">
        <v>171.58</v>
      </c>
      <c r="D43">
        <v>11130322</v>
      </c>
      <c r="E43">
        <v>191.72</v>
      </c>
      <c r="F43">
        <v>-2.4500000000000002</v>
      </c>
      <c r="G43">
        <v>5.04</v>
      </c>
    </row>
    <row r="44" spans="2:7" x14ac:dyDescent="0.3">
      <c r="B44" t="s">
        <v>196</v>
      </c>
      <c r="C44">
        <v>171.77</v>
      </c>
      <c r="D44">
        <v>5656330</v>
      </c>
      <c r="E44">
        <v>95.59</v>
      </c>
      <c r="F44">
        <v>20.010000000000002</v>
      </c>
      <c r="G44">
        <v>0</v>
      </c>
    </row>
    <row r="45" spans="2:7" x14ac:dyDescent="0.3">
      <c r="B45" t="s">
        <v>197</v>
      </c>
      <c r="C45">
        <v>172.96</v>
      </c>
      <c r="D45">
        <v>47490869</v>
      </c>
      <c r="E45">
        <v>866.14</v>
      </c>
      <c r="F45">
        <v>10.17</v>
      </c>
      <c r="G45">
        <v>46.82</v>
      </c>
    </row>
    <row r="46" spans="2:7" x14ac:dyDescent="0.3">
      <c r="B46" t="s">
        <v>198</v>
      </c>
      <c r="C46">
        <v>174.42</v>
      </c>
      <c r="D46">
        <v>1869097</v>
      </c>
      <c r="E46">
        <v>32.729999999999997</v>
      </c>
      <c r="F46">
        <v>-2.74</v>
      </c>
      <c r="G46">
        <v>9.08</v>
      </c>
    </row>
    <row r="47" spans="2:7" x14ac:dyDescent="0.3">
      <c r="B47" t="s">
        <v>199</v>
      </c>
      <c r="C47">
        <v>176.24</v>
      </c>
      <c r="D47">
        <v>624781</v>
      </c>
      <c r="E47">
        <v>10.85</v>
      </c>
      <c r="F47">
        <v>-19.41</v>
      </c>
      <c r="G47">
        <v>-57.83</v>
      </c>
    </row>
    <row r="48" spans="2:7" x14ac:dyDescent="0.3">
      <c r="B48" t="s">
        <v>200</v>
      </c>
      <c r="C48">
        <v>177.06</v>
      </c>
      <c r="D48">
        <v>281660</v>
      </c>
      <c r="E48">
        <v>5.03</v>
      </c>
      <c r="F48">
        <v>-20.14</v>
      </c>
      <c r="G48">
        <v>-41.31</v>
      </c>
    </row>
    <row r="49" spans="2:7" x14ac:dyDescent="0.3">
      <c r="B49" t="s">
        <v>201</v>
      </c>
      <c r="C49">
        <v>180.11</v>
      </c>
      <c r="D49">
        <v>813875</v>
      </c>
      <c r="E49">
        <v>14.47</v>
      </c>
      <c r="F49">
        <v>-13.87</v>
      </c>
      <c r="G49">
        <v>-52.35</v>
      </c>
    </row>
    <row r="50" spans="2:7" x14ac:dyDescent="0.3">
      <c r="B50" t="s">
        <v>202</v>
      </c>
      <c r="C50">
        <v>184.08</v>
      </c>
      <c r="D50">
        <v>570016</v>
      </c>
      <c r="E50">
        <v>10.43</v>
      </c>
      <c r="F50">
        <v>-10.95</v>
      </c>
      <c r="G50">
        <v>-31.43</v>
      </c>
    </row>
    <row r="51" spans="2:7" x14ac:dyDescent="0.3">
      <c r="B51" t="s">
        <v>203</v>
      </c>
      <c r="C51">
        <v>184.52</v>
      </c>
      <c r="D51">
        <v>1701815</v>
      </c>
      <c r="E51">
        <v>30.86</v>
      </c>
      <c r="F51">
        <v>1.63</v>
      </c>
      <c r="G51">
        <v>-22.9</v>
      </c>
    </row>
    <row r="52" spans="2:7" x14ac:dyDescent="0.3">
      <c r="B52" t="s">
        <v>204</v>
      </c>
      <c r="C52">
        <v>186.02</v>
      </c>
      <c r="D52">
        <v>1903526</v>
      </c>
      <c r="E52">
        <v>34.93</v>
      </c>
      <c r="F52">
        <v>9.4</v>
      </c>
      <c r="G52">
        <v>21.39</v>
      </c>
    </row>
    <row r="53" spans="2:7" x14ac:dyDescent="0.3">
      <c r="B53" t="s">
        <v>205</v>
      </c>
      <c r="C53">
        <v>186.54</v>
      </c>
      <c r="D53">
        <v>1710617</v>
      </c>
      <c r="E53">
        <v>31.96</v>
      </c>
      <c r="F53">
        <v>-9.4700000000000006</v>
      </c>
      <c r="G53">
        <v>-22.04</v>
      </c>
    </row>
    <row r="54" spans="2:7" x14ac:dyDescent="0.3">
      <c r="B54" t="s">
        <v>206</v>
      </c>
      <c r="C54">
        <v>189.46</v>
      </c>
      <c r="D54">
        <v>2950116</v>
      </c>
      <c r="E54">
        <v>55.8</v>
      </c>
      <c r="F54">
        <v>-1.6</v>
      </c>
      <c r="G54">
        <v>-4.25</v>
      </c>
    </row>
    <row r="55" spans="2:7" x14ac:dyDescent="0.3">
      <c r="B55" t="s">
        <v>207</v>
      </c>
      <c r="C55">
        <v>193.06</v>
      </c>
      <c r="D55">
        <v>561514</v>
      </c>
      <c r="E55">
        <v>10.79</v>
      </c>
      <c r="F55">
        <v>-3.59</v>
      </c>
      <c r="G55">
        <v>-11.28</v>
      </c>
    </row>
    <row r="56" spans="2:7" x14ac:dyDescent="0.3">
      <c r="B56" t="s">
        <v>208</v>
      </c>
      <c r="C56">
        <v>193.4</v>
      </c>
      <c r="D56">
        <v>343629</v>
      </c>
      <c r="E56">
        <v>6.53</v>
      </c>
      <c r="F56">
        <v>-10.01</v>
      </c>
      <c r="G56">
        <v>-23.15</v>
      </c>
    </row>
    <row r="57" spans="2:7" x14ac:dyDescent="0.3">
      <c r="B57" t="s">
        <v>209</v>
      </c>
      <c r="C57">
        <v>194.59</v>
      </c>
      <c r="D57">
        <v>516334</v>
      </c>
      <c r="E57">
        <v>10.039999999999999</v>
      </c>
      <c r="F57">
        <v>-5.56</v>
      </c>
      <c r="G57">
        <v>-40.07</v>
      </c>
    </row>
    <row r="58" spans="2:7" x14ac:dyDescent="0.3">
      <c r="B58" t="s">
        <v>210</v>
      </c>
      <c r="C58">
        <v>194.83</v>
      </c>
      <c r="D58">
        <v>260534</v>
      </c>
      <c r="E58">
        <v>5.01</v>
      </c>
      <c r="F58">
        <v>-4.8099999999999996</v>
      </c>
      <c r="G58">
        <v>-30.78</v>
      </c>
    </row>
    <row r="59" spans="2:7" x14ac:dyDescent="0.3">
      <c r="B59" t="s">
        <v>211</v>
      </c>
      <c r="C59">
        <v>196.57</v>
      </c>
      <c r="D59">
        <v>974554</v>
      </c>
      <c r="E59">
        <v>19.5</v>
      </c>
      <c r="F59">
        <v>-2.57</v>
      </c>
      <c r="G59">
        <v>30</v>
      </c>
    </row>
    <row r="60" spans="2:7" x14ac:dyDescent="0.3">
      <c r="B60" t="s">
        <v>212</v>
      </c>
      <c r="C60">
        <v>198.81</v>
      </c>
      <c r="D60">
        <v>818087</v>
      </c>
      <c r="E60">
        <v>16.239999999999998</v>
      </c>
      <c r="F60">
        <v>7.09</v>
      </c>
      <c r="G60">
        <v>10.48</v>
      </c>
    </row>
    <row r="61" spans="2:7" x14ac:dyDescent="0.3">
      <c r="B61" t="s">
        <v>213</v>
      </c>
      <c r="C61">
        <v>203.27</v>
      </c>
      <c r="D61">
        <v>519851</v>
      </c>
      <c r="E61">
        <v>10.45</v>
      </c>
      <c r="F61">
        <v>-5.91</v>
      </c>
      <c r="G61">
        <v>41.69</v>
      </c>
    </row>
    <row r="62" spans="2:7" x14ac:dyDescent="0.3">
      <c r="B62" t="s">
        <v>214</v>
      </c>
      <c r="C62">
        <v>205.29</v>
      </c>
      <c r="D62">
        <v>450078</v>
      </c>
      <c r="E62">
        <v>9.17</v>
      </c>
      <c r="F62">
        <v>-4.2300000000000004</v>
      </c>
      <c r="G62">
        <v>-41.19</v>
      </c>
    </row>
    <row r="63" spans="2:7" x14ac:dyDescent="0.3">
      <c r="B63" t="s">
        <v>215</v>
      </c>
      <c r="C63">
        <v>207.87</v>
      </c>
      <c r="D63">
        <v>8012610</v>
      </c>
      <c r="E63">
        <v>168.57</v>
      </c>
      <c r="F63">
        <v>27.98</v>
      </c>
      <c r="G63">
        <v>83.81</v>
      </c>
    </row>
    <row r="64" spans="2:7" x14ac:dyDescent="0.3">
      <c r="B64" t="s">
        <v>216</v>
      </c>
      <c r="C64">
        <v>211.06</v>
      </c>
      <c r="D64">
        <v>17157843</v>
      </c>
      <c r="E64">
        <v>369.13</v>
      </c>
      <c r="F64">
        <v>13.4</v>
      </c>
      <c r="G64">
        <v>0</v>
      </c>
    </row>
    <row r="65" spans="2:7" x14ac:dyDescent="0.3">
      <c r="B65" t="s">
        <v>217</v>
      </c>
      <c r="C65">
        <v>212.97</v>
      </c>
      <c r="D65">
        <v>329531</v>
      </c>
      <c r="E65">
        <v>6.98</v>
      </c>
      <c r="F65">
        <v>-9.07</v>
      </c>
      <c r="G65">
        <v>-21.07</v>
      </c>
    </row>
    <row r="66" spans="2:7" x14ac:dyDescent="0.3">
      <c r="B66" t="s">
        <v>218</v>
      </c>
      <c r="C66">
        <v>215.98</v>
      </c>
      <c r="D66">
        <v>178200</v>
      </c>
      <c r="E66">
        <v>3.84</v>
      </c>
      <c r="F66">
        <v>-11.63</v>
      </c>
      <c r="G66">
        <v>-9.86</v>
      </c>
    </row>
    <row r="67" spans="2:7" x14ac:dyDescent="0.3">
      <c r="B67" t="s">
        <v>219</v>
      </c>
      <c r="C67">
        <v>216.02</v>
      </c>
      <c r="D67">
        <v>831791</v>
      </c>
      <c r="E67">
        <v>18.16</v>
      </c>
      <c r="F67">
        <v>-12.82</v>
      </c>
      <c r="G67">
        <v>-26</v>
      </c>
    </row>
    <row r="68" spans="2:7" x14ac:dyDescent="0.3">
      <c r="B68" t="s">
        <v>220</v>
      </c>
      <c r="C68">
        <v>216.39</v>
      </c>
      <c r="D68">
        <v>167897</v>
      </c>
      <c r="E68">
        <v>3.61</v>
      </c>
      <c r="F68">
        <v>2.1800000000000002</v>
      </c>
      <c r="G68">
        <v>-23.85</v>
      </c>
    </row>
    <row r="69" spans="2:7" x14ac:dyDescent="0.3">
      <c r="B69" t="s">
        <v>221</v>
      </c>
      <c r="C69">
        <v>216.81</v>
      </c>
      <c r="D69">
        <v>324376</v>
      </c>
      <c r="E69">
        <v>7</v>
      </c>
      <c r="F69">
        <v>-4.38</v>
      </c>
      <c r="G69">
        <v>-21.21</v>
      </c>
    </row>
    <row r="70" spans="2:7" x14ac:dyDescent="0.3">
      <c r="B70" t="s">
        <v>222</v>
      </c>
      <c r="C70">
        <v>217.81</v>
      </c>
      <c r="D70">
        <v>11435273</v>
      </c>
      <c r="E70">
        <v>257.76</v>
      </c>
      <c r="F70">
        <v>-0.06</v>
      </c>
      <c r="G70">
        <v>62.01</v>
      </c>
    </row>
    <row r="71" spans="2:7" x14ac:dyDescent="0.3">
      <c r="B71" t="s">
        <v>223</v>
      </c>
      <c r="C71">
        <v>220.17</v>
      </c>
      <c r="D71">
        <v>1035755</v>
      </c>
      <c r="E71">
        <v>22.69</v>
      </c>
      <c r="F71">
        <v>-0.2</v>
      </c>
      <c r="G71">
        <v>36.799999999999997</v>
      </c>
    </row>
    <row r="72" spans="2:7" x14ac:dyDescent="0.3">
      <c r="B72" t="s">
        <v>224</v>
      </c>
      <c r="C72">
        <v>226.61</v>
      </c>
      <c r="D72">
        <v>1393585</v>
      </c>
      <c r="E72">
        <v>31.82</v>
      </c>
      <c r="F72">
        <v>1.24</v>
      </c>
      <c r="G72">
        <v>-29.24</v>
      </c>
    </row>
    <row r="73" spans="2:7" x14ac:dyDescent="0.3">
      <c r="B73" t="s">
        <v>225</v>
      </c>
      <c r="C73">
        <v>226.62</v>
      </c>
      <c r="D73">
        <v>3881596</v>
      </c>
      <c r="E73">
        <v>85.83</v>
      </c>
      <c r="F73">
        <v>4.25</v>
      </c>
      <c r="G73">
        <v>10.23</v>
      </c>
    </row>
    <row r="74" spans="2:7" x14ac:dyDescent="0.3">
      <c r="B74" t="s">
        <v>226</v>
      </c>
      <c r="C74">
        <v>227.17</v>
      </c>
      <c r="D74">
        <v>1136349</v>
      </c>
      <c r="E74">
        <v>26.06</v>
      </c>
      <c r="F74">
        <v>-7.9</v>
      </c>
      <c r="G74">
        <v>61.37</v>
      </c>
    </row>
    <row r="75" spans="2:7" x14ac:dyDescent="0.3">
      <c r="B75" t="s">
        <v>227</v>
      </c>
      <c r="C75">
        <v>229.55</v>
      </c>
      <c r="D75">
        <v>2269401</v>
      </c>
      <c r="E75">
        <v>51.82</v>
      </c>
      <c r="F75">
        <v>18.77</v>
      </c>
      <c r="G75">
        <v>84.25</v>
      </c>
    </row>
    <row r="76" spans="2:7" x14ac:dyDescent="0.3">
      <c r="B76" t="s">
        <v>228</v>
      </c>
      <c r="C76">
        <v>230.35</v>
      </c>
      <c r="D76">
        <v>2474475</v>
      </c>
      <c r="E76">
        <v>58.89</v>
      </c>
      <c r="F76">
        <v>7.84</v>
      </c>
      <c r="G76">
        <v>-13.89</v>
      </c>
    </row>
    <row r="77" spans="2:7" x14ac:dyDescent="0.3">
      <c r="B77" t="s">
        <v>229</v>
      </c>
      <c r="C77">
        <v>231.9</v>
      </c>
      <c r="D77">
        <v>3989754</v>
      </c>
      <c r="E77">
        <v>92.77</v>
      </c>
      <c r="F77">
        <v>-6.8</v>
      </c>
      <c r="G77">
        <v>-27.64</v>
      </c>
    </row>
    <row r="78" spans="2:7" x14ac:dyDescent="0.3">
      <c r="B78" t="s">
        <v>230</v>
      </c>
      <c r="C78">
        <v>231.9</v>
      </c>
      <c r="D78">
        <v>2439713</v>
      </c>
      <c r="E78">
        <v>56.33</v>
      </c>
      <c r="F78">
        <v>-7.17</v>
      </c>
      <c r="G78">
        <v>0</v>
      </c>
    </row>
    <row r="79" spans="2:7" x14ac:dyDescent="0.3">
      <c r="B79" t="s">
        <v>231</v>
      </c>
      <c r="C79">
        <v>232.97</v>
      </c>
      <c r="D79">
        <v>1015686</v>
      </c>
      <c r="E79">
        <v>23.6</v>
      </c>
      <c r="F79">
        <v>9.43</v>
      </c>
      <c r="G79">
        <v>53.9</v>
      </c>
    </row>
    <row r="80" spans="2:7" x14ac:dyDescent="0.3">
      <c r="B80" t="s">
        <v>232</v>
      </c>
      <c r="C80">
        <v>233.15</v>
      </c>
      <c r="D80">
        <v>204827</v>
      </c>
      <c r="E80">
        <v>4.74</v>
      </c>
      <c r="F80">
        <v>0.53</v>
      </c>
      <c r="G80">
        <v>35.44</v>
      </c>
    </row>
    <row r="81" spans="2:7" x14ac:dyDescent="0.3">
      <c r="B81" t="s">
        <v>233</v>
      </c>
      <c r="C81">
        <v>236.58</v>
      </c>
      <c r="D81">
        <v>1394473</v>
      </c>
      <c r="E81">
        <v>32.24</v>
      </c>
      <c r="F81">
        <v>-14.9</v>
      </c>
      <c r="G81">
        <v>-44.15</v>
      </c>
    </row>
    <row r="82" spans="2:7" x14ac:dyDescent="0.3">
      <c r="B82" t="s">
        <v>234</v>
      </c>
      <c r="C82">
        <v>237.7</v>
      </c>
      <c r="D82">
        <v>589949</v>
      </c>
      <c r="E82">
        <v>13.96</v>
      </c>
      <c r="F82">
        <v>-6.97</v>
      </c>
      <c r="G82">
        <v>-34.71</v>
      </c>
    </row>
    <row r="83" spans="2:7" x14ac:dyDescent="0.3">
      <c r="B83" t="s">
        <v>235</v>
      </c>
      <c r="C83">
        <v>242.25</v>
      </c>
      <c r="D83">
        <v>573528</v>
      </c>
      <c r="E83">
        <v>13.68</v>
      </c>
      <c r="F83">
        <v>-9</v>
      </c>
      <c r="G83">
        <v>0</v>
      </c>
    </row>
    <row r="84" spans="2:7" x14ac:dyDescent="0.3">
      <c r="B84" t="s">
        <v>236</v>
      </c>
      <c r="C84">
        <v>242.41</v>
      </c>
      <c r="D84">
        <v>491937</v>
      </c>
      <c r="E84">
        <v>11.92</v>
      </c>
      <c r="F84">
        <v>-7.43</v>
      </c>
      <c r="G84">
        <v>-24.75</v>
      </c>
    </row>
    <row r="85" spans="2:7" x14ac:dyDescent="0.3">
      <c r="B85" t="s">
        <v>237</v>
      </c>
      <c r="C85">
        <v>245.71</v>
      </c>
      <c r="D85">
        <v>3124495</v>
      </c>
      <c r="E85">
        <v>78.599999999999994</v>
      </c>
      <c r="F85">
        <v>4.9400000000000004</v>
      </c>
      <c r="G85">
        <v>5.47</v>
      </c>
    </row>
    <row r="86" spans="2:7" x14ac:dyDescent="0.3">
      <c r="B86" t="s">
        <v>238</v>
      </c>
      <c r="C86">
        <v>245.89</v>
      </c>
      <c r="D86">
        <v>260433</v>
      </c>
      <c r="E86">
        <v>6.33</v>
      </c>
      <c r="F86">
        <v>-2.2799999999999998</v>
      </c>
      <c r="G86">
        <v>-45.62</v>
      </c>
    </row>
    <row r="87" spans="2:7" x14ac:dyDescent="0.3">
      <c r="B87" t="s">
        <v>239</v>
      </c>
      <c r="C87">
        <v>248.1</v>
      </c>
      <c r="D87">
        <v>2561676</v>
      </c>
      <c r="E87">
        <v>63.36</v>
      </c>
      <c r="F87">
        <v>9.51</v>
      </c>
      <c r="G87">
        <v>7.05</v>
      </c>
    </row>
    <row r="88" spans="2:7" x14ac:dyDescent="0.3">
      <c r="B88" t="s">
        <v>240</v>
      </c>
      <c r="C88">
        <v>250.76</v>
      </c>
      <c r="D88">
        <v>6833419</v>
      </c>
      <c r="E88">
        <v>169.49</v>
      </c>
      <c r="F88">
        <v>18.28</v>
      </c>
      <c r="G88">
        <v>251.13</v>
      </c>
    </row>
    <row r="89" spans="2:7" x14ac:dyDescent="0.3">
      <c r="B89" t="s">
        <v>241</v>
      </c>
      <c r="C89">
        <v>251.49</v>
      </c>
      <c r="D89">
        <v>587080</v>
      </c>
      <c r="E89">
        <v>14.81</v>
      </c>
      <c r="F89">
        <v>-9.4</v>
      </c>
      <c r="G89">
        <v>-28.24</v>
      </c>
    </row>
    <row r="90" spans="2:7" x14ac:dyDescent="0.3">
      <c r="B90" t="s">
        <v>242</v>
      </c>
      <c r="C90">
        <v>253</v>
      </c>
      <c r="D90">
        <v>128291</v>
      </c>
      <c r="E90">
        <v>3.25</v>
      </c>
      <c r="F90">
        <v>-6.5</v>
      </c>
      <c r="G90">
        <v>-55.63</v>
      </c>
    </row>
    <row r="91" spans="2:7" x14ac:dyDescent="0.3">
      <c r="B91" t="s">
        <v>243</v>
      </c>
      <c r="C91">
        <v>254.61</v>
      </c>
      <c r="D91">
        <v>1660145</v>
      </c>
      <c r="E91">
        <v>42.22</v>
      </c>
      <c r="F91">
        <v>10.36</v>
      </c>
      <c r="G91">
        <v>1.18</v>
      </c>
    </row>
    <row r="92" spans="2:7" x14ac:dyDescent="0.3">
      <c r="B92" t="s">
        <v>244</v>
      </c>
      <c r="C92">
        <v>256.95999999999998</v>
      </c>
      <c r="D92">
        <v>1132562</v>
      </c>
      <c r="E92">
        <v>29.08</v>
      </c>
      <c r="F92">
        <v>-0.73</v>
      </c>
      <c r="G92">
        <v>-25.74</v>
      </c>
    </row>
    <row r="93" spans="2:7" x14ac:dyDescent="0.3">
      <c r="B93" t="s">
        <v>245</v>
      </c>
      <c r="C93">
        <v>257.8</v>
      </c>
      <c r="D93">
        <v>318352</v>
      </c>
      <c r="E93">
        <v>8.14</v>
      </c>
      <c r="F93">
        <v>-8.92</v>
      </c>
      <c r="G93">
        <v>-27.47</v>
      </c>
    </row>
    <row r="94" spans="2:7" x14ac:dyDescent="0.3">
      <c r="B94" t="s">
        <v>246</v>
      </c>
      <c r="C94">
        <v>258.05</v>
      </c>
      <c r="D94">
        <v>484772</v>
      </c>
      <c r="E94">
        <v>12.56</v>
      </c>
      <c r="F94">
        <v>-12.35</v>
      </c>
      <c r="G94">
        <v>-38.39</v>
      </c>
    </row>
    <row r="95" spans="2:7" x14ac:dyDescent="0.3">
      <c r="B95" t="s">
        <v>247</v>
      </c>
      <c r="C95">
        <v>258.60000000000002</v>
      </c>
      <c r="D95">
        <v>3289030</v>
      </c>
      <c r="E95">
        <v>88.24</v>
      </c>
      <c r="F95">
        <v>-60.96</v>
      </c>
      <c r="G95">
        <v>-47.29</v>
      </c>
    </row>
    <row r="96" spans="2:7" x14ac:dyDescent="0.3">
      <c r="B96" t="s">
        <v>248</v>
      </c>
      <c r="C96">
        <v>259.14999999999998</v>
      </c>
      <c r="D96">
        <v>187554</v>
      </c>
      <c r="E96">
        <v>4.76</v>
      </c>
      <c r="F96">
        <v>-7.11</v>
      </c>
      <c r="G96">
        <v>-27.7</v>
      </c>
    </row>
    <row r="97" spans="2:7" x14ac:dyDescent="0.3">
      <c r="B97" t="s">
        <v>249</v>
      </c>
      <c r="C97">
        <v>261.95</v>
      </c>
      <c r="D97">
        <v>2327034</v>
      </c>
      <c r="E97">
        <v>60.39</v>
      </c>
      <c r="F97">
        <v>-5.42</v>
      </c>
      <c r="G97">
        <v>39.67</v>
      </c>
    </row>
    <row r="98" spans="2:7" x14ac:dyDescent="0.3">
      <c r="B98" t="s">
        <v>250</v>
      </c>
      <c r="C98">
        <v>266.3</v>
      </c>
      <c r="D98">
        <v>434791</v>
      </c>
      <c r="E98">
        <v>11.53</v>
      </c>
      <c r="F98">
        <v>-8.4</v>
      </c>
      <c r="G98">
        <v>-27.48</v>
      </c>
    </row>
    <row r="99" spans="2:7" x14ac:dyDescent="0.3">
      <c r="B99" t="s">
        <v>251</v>
      </c>
      <c r="C99">
        <v>270.2</v>
      </c>
      <c r="D99">
        <v>79954</v>
      </c>
      <c r="E99">
        <v>2.14</v>
      </c>
      <c r="F99">
        <v>-5.29</v>
      </c>
      <c r="G99">
        <v>-13.45</v>
      </c>
    </row>
    <row r="100" spans="2:7" x14ac:dyDescent="0.3">
      <c r="B100" t="s">
        <v>252</v>
      </c>
      <c r="C100">
        <v>270.75</v>
      </c>
      <c r="D100">
        <v>3036249</v>
      </c>
      <c r="E100">
        <v>82.25</v>
      </c>
      <c r="F100">
        <v>18.329999999999998</v>
      </c>
      <c r="G100">
        <v>45.81</v>
      </c>
    </row>
    <row r="101" spans="2:7" x14ac:dyDescent="0.3">
      <c r="B101" t="s">
        <v>253</v>
      </c>
      <c r="C101">
        <v>272.75</v>
      </c>
      <c r="D101">
        <v>445094</v>
      </c>
      <c r="E101">
        <v>11.99</v>
      </c>
      <c r="F101">
        <v>15.53</v>
      </c>
      <c r="G101">
        <v>-21.98</v>
      </c>
    </row>
    <row r="102" spans="2:7" x14ac:dyDescent="0.3">
      <c r="B102" t="s">
        <v>254</v>
      </c>
      <c r="C102">
        <v>274.25</v>
      </c>
      <c r="D102">
        <v>909749</v>
      </c>
      <c r="E102">
        <v>24.41</v>
      </c>
      <c r="F102">
        <v>-15.44</v>
      </c>
      <c r="G102">
        <v>-27.21</v>
      </c>
    </row>
    <row r="103" spans="2:7" x14ac:dyDescent="0.3">
      <c r="B103" t="s">
        <v>255</v>
      </c>
      <c r="C103">
        <v>274.8</v>
      </c>
      <c r="D103">
        <v>26778485</v>
      </c>
      <c r="E103">
        <v>732.58</v>
      </c>
      <c r="F103">
        <v>6.55</v>
      </c>
      <c r="G103">
        <v>610.51</v>
      </c>
    </row>
    <row r="104" spans="2:7" x14ac:dyDescent="0.3">
      <c r="B104" t="s">
        <v>256</v>
      </c>
      <c r="C104">
        <v>274.8</v>
      </c>
      <c r="D104">
        <v>704387</v>
      </c>
      <c r="E104">
        <v>19.8</v>
      </c>
      <c r="F104">
        <v>-13.6</v>
      </c>
      <c r="G104">
        <v>-65.22</v>
      </c>
    </row>
    <row r="105" spans="2:7" x14ac:dyDescent="0.3">
      <c r="B105" t="s">
        <v>257</v>
      </c>
      <c r="C105">
        <v>275.85000000000002</v>
      </c>
      <c r="D105">
        <v>177778</v>
      </c>
      <c r="E105">
        <v>4.8600000000000003</v>
      </c>
      <c r="F105">
        <v>-6.11</v>
      </c>
      <c r="G105">
        <v>-20.63</v>
      </c>
    </row>
    <row r="106" spans="2:7" x14ac:dyDescent="0.3">
      <c r="B106" t="s">
        <v>258</v>
      </c>
      <c r="C106">
        <v>276.8</v>
      </c>
      <c r="D106">
        <v>830009</v>
      </c>
      <c r="E106">
        <v>22.94</v>
      </c>
      <c r="F106">
        <v>-9.92</v>
      </c>
      <c r="G106">
        <v>-37.79</v>
      </c>
    </row>
    <row r="107" spans="2:7" x14ac:dyDescent="0.3">
      <c r="B107" t="s">
        <v>259</v>
      </c>
      <c r="C107">
        <v>279.2</v>
      </c>
      <c r="D107">
        <v>2222424</v>
      </c>
      <c r="E107">
        <v>61.49</v>
      </c>
      <c r="F107">
        <v>13.32</v>
      </c>
      <c r="G107">
        <v>32.549999999999997</v>
      </c>
    </row>
    <row r="108" spans="2:7" x14ac:dyDescent="0.3">
      <c r="B108" t="s">
        <v>260</v>
      </c>
      <c r="C108">
        <v>280.25</v>
      </c>
      <c r="D108">
        <v>924861</v>
      </c>
      <c r="E108">
        <v>25.64</v>
      </c>
      <c r="F108">
        <v>-0.24</v>
      </c>
      <c r="G108">
        <v>-37.61</v>
      </c>
    </row>
    <row r="109" spans="2:7" x14ac:dyDescent="0.3">
      <c r="B109" t="s">
        <v>261</v>
      </c>
      <c r="C109">
        <v>281.64999999999998</v>
      </c>
      <c r="D109">
        <v>945788</v>
      </c>
      <c r="E109">
        <v>26.27</v>
      </c>
      <c r="F109">
        <v>-12.97</v>
      </c>
      <c r="G109">
        <v>-25.85</v>
      </c>
    </row>
    <row r="110" spans="2:7" x14ac:dyDescent="0.3">
      <c r="B110" t="s">
        <v>262</v>
      </c>
      <c r="C110">
        <v>283.35000000000002</v>
      </c>
      <c r="D110">
        <v>51216</v>
      </c>
      <c r="E110">
        <v>1.45</v>
      </c>
      <c r="F110">
        <v>-12.51</v>
      </c>
      <c r="G110">
        <v>-4.1500000000000004</v>
      </c>
    </row>
    <row r="111" spans="2:7" x14ac:dyDescent="0.3">
      <c r="B111" t="s">
        <v>263</v>
      </c>
      <c r="C111">
        <v>287</v>
      </c>
      <c r="D111">
        <v>101181</v>
      </c>
      <c r="E111">
        <v>3.05</v>
      </c>
      <c r="F111">
        <v>-73.650000000000006</v>
      </c>
      <c r="G111">
        <v>-63.57</v>
      </c>
    </row>
    <row r="112" spans="2:7" x14ac:dyDescent="0.3">
      <c r="B112" t="s">
        <v>264</v>
      </c>
      <c r="C112">
        <v>288.75</v>
      </c>
      <c r="D112">
        <v>1073224</v>
      </c>
      <c r="E112">
        <v>30.99</v>
      </c>
      <c r="F112">
        <v>-5.74</v>
      </c>
      <c r="G112">
        <v>39.1</v>
      </c>
    </row>
    <row r="113" spans="2:7" x14ac:dyDescent="0.3">
      <c r="B113" t="s">
        <v>265</v>
      </c>
      <c r="C113">
        <v>290.64999999999998</v>
      </c>
      <c r="D113">
        <v>1911786</v>
      </c>
      <c r="E113">
        <v>56.52</v>
      </c>
      <c r="F113">
        <v>4.21</v>
      </c>
      <c r="G113">
        <v>22.11</v>
      </c>
    </row>
    <row r="114" spans="2:7" x14ac:dyDescent="0.3">
      <c r="B114" t="s">
        <v>266</v>
      </c>
      <c r="C114">
        <v>292.05</v>
      </c>
      <c r="D114">
        <v>808169</v>
      </c>
      <c r="E114">
        <v>23.87</v>
      </c>
      <c r="F114">
        <v>-21.28</v>
      </c>
      <c r="G114">
        <v>-38.78</v>
      </c>
    </row>
    <row r="115" spans="2:7" x14ac:dyDescent="0.3">
      <c r="B115" t="s">
        <v>267</v>
      </c>
      <c r="C115">
        <v>295.75</v>
      </c>
      <c r="D115">
        <v>133319</v>
      </c>
      <c r="E115">
        <v>3.88</v>
      </c>
      <c r="F115">
        <v>-5.95</v>
      </c>
      <c r="G115">
        <v>-29.29</v>
      </c>
    </row>
    <row r="116" spans="2:7" x14ac:dyDescent="0.3">
      <c r="B116" t="s">
        <v>268</v>
      </c>
      <c r="C116">
        <v>295.89999999999998</v>
      </c>
      <c r="D116">
        <v>85230</v>
      </c>
      <c r="E116">
        <v>2.4900000000000002</v>
      </c>
      <c r="F116">
        <v>-2.39</v>
      </c>
      <c r="G116">
        <v>-34.26</v>
      </c>
    </row>
    <row r="117" spans="2:7" x14ac:dyDescent="0.3">
      <c r="B117" t="s">
        <v>269</v>
      </c>
      <c r="C117">
        <v>296.55</v>
      </c>
      <c r="D117">
        <v>1263717</v>
      </c>
      <c r="E117">
        <v>37.619999999999997</v>
      </c>
      <c r="F117">
        <v>-3.97</v>
      </c>
      <c r="G117">
        <v>0</v>
      </c>
    </row>
    <row r="118" spans="2:7" x14ac:dyDescent="0.3">
      <c r="B118" t="s">
        <v>270</v>
      </c>
      <c r="C118">
        <v>297.14999999999998</v>
      </c>
      <c r="D118">
        <v>775856</v>
      </c>
      <c r="E118">
        <v>23.09</v>
      </c>
      <c r="F118">
        <v>0</v>
      </c>
      <c r="G118">
        <v>-40.01</v>
      </c>
    </row>
    <row r="119" spans="2:7" x14ac:dyDescent="0.3">
      <c r="B119" t="s">
        <v>271</v>
      </c>
      <c r="C119">
        <v>298</v>
      </c>
      <c r="D119">
        <v>7856510</v>
      </c>
      <c r="E119">
        <v>234.49</v>
      </c>
      <c r="F119">
        <v>2.41</v>
      </c>
      <c r="G119">
        <v>28.02</v>
      </c>
    </row>
    <row r="120" spans="2:7" x14ac:dyDescent="0.3">
      <c r="B120" t="s">
        <v>272</v>
      </c>
      <c r="C120">
        <v>298.85000000000002</v>
      </c>
      <c r="D120">
        <v>159172</v>
      </c>
      <c r="E120">
        <v>4.7699999999999996</v>
      </c>
      <c r="F120">
        <v>-7.51</v>
      </c>
      <c r="G120">
        <v>-12.33</v>
      </c>
    </row>
    <row r="121" spans="2:7" x14ac:dyDescent="0.3">
      <c r="B121" t="s">
        <v>273</v>
      </c>
      <c r="C121">
        <v>307.60000000000002</v>
      </c>
      <c r="D121">
        <v>1991399</v>
      </c>
      <c r="E121">
        <v>61.83</v>
      </c>
      <c r="F121">
        <v>15.31</v>
      </c>
      <c r="G121">
        <v>55.03</v>
      </c>
    </row>
    <row r="122" spans="2:7" x14ac:dyDescent="0.3">
      <c r="B122" t="s">
        <v>274</v>
      </c>
      <c r="C122">
        <v>309.60000000000002</v>
      </c>
      <c r="D122">
        <v>340693</v>
      </c>
      <c r="E122">
        <v>10.45</v>
      </c>
      <c r="F122">
        <v>-3.13</v>
      </c>
      <c r="G122">
        <v>-30.43</v>
      </c>
    </row>
    <row r="123" spans="2:7" x14ac:dyDescent="0.3">
      <c r="B123" t="s">
        <v>275</v>
      </c>
      <c r="C123">
        <v>312.85000000000002</v>
      </c>
      <c r="D123">
        <v>1000771</v>
      </c>
      <c r="E123">
        <v>31</v>
      </c>
      <c r="F123">
        <v>-0.62</v>
      </c>
      <c r="G123">
        <v>-12.84</v>
      </c>
    </row>
    <row r="124" spans="2:7" x14ac:dyDescent="0.3">
      <c r="B124" t="s">
        <v>276</v>
      </c>
      <c r="C124">
        <v>313.14999999999998</v>
      </c>
      <c r="D124">
        <v>761243</v>
      </c>
      <c r="E124">
        <v>24.09</v>
      </c>
      <c r="F124">
        <v>9.98</v>
      </c>
      <c r="G124">
        <v>65.59</v>
      </c>
    </row>
    <row r="125" spans="2:7" x14ac:dyDescent="0.3">
      <c r="B125" t="s">
        <v>277</v>
      </c>
      <c r="C125">
        <v>318.10000000000002</v>
      </c>
      <c r="D125">
        <v>601837</v>
      </c>
      <c r="E125">
        <v>18.77</v>
      </c>
      <c r="F125">
        <v>-12.35</v>
      </c>
      <c r="G125">
        <v>-10.58</v>
      </c>
    </row>
    <row r="126" spans="2:7" x14ac:dyDescent="0.3">
      <c r="B126" t="s">
        <v>278</v>
      </c>
      <c r="C126">
        <v>322.8</v>
      </c>
      <c r="D126">
        <v>2993680</v>
      </c>
      <c r="E126">
        <v>103.69</v>
      </c>
      <c r="F126">
        <v>21.45</v>
      </c>
      <c r="G126">
        <v>-35.79</v>
      </c>
    </row>
    <row r="127" spans="2:7" x14ac:dyDescent="0.3">
      <c r="B127" t="s">
        <v>279</v>
      </c>
      <c r="C127">
        <v>325</v>
      </c>
      <c r="D127">
        <v>6844403</v>
      </c>
      <c r="E127">
        <v>218.03</v>
      </c>
      <c r="F127">
        <v>-12.75</v>
      </c>
      <c r="G127">
        <v>9.74</v>
      </c>
    </row>
    <row r="128" spans="2:7" x14ac:dyDescent="0.3">
      <c r="B128" t="s">
        <v>280</v>
      </c>
      <c r="C128">
        <v>328.8</v>
      </c>
      <c r="D128">
        <v>6364541</v>
      </c>
      <c r="E128">
        <v>213.78</v>
      </c>
      <c r="F128">
        <v>4.04</v>
      </c>
      <c r="G128">
        <v>-12.98</v>
      </c>
    </row>
    <row r="129" spans="2:7" x14ac:dyDescent="0.3">
      <c r="B129" t="s">
        <v>281</v>
      </c>
      <c r="C129">
        <v>330.05</v>
      </c>
      <c r="D129">
        <v>454074</v>
      </c>
      <c r="E129">
        <v>14.95</v>
      </c>
      <c r="F129">
        <v>2.46</v>
      </c>
      <c r="G129">
        <v>-11.16</v>
      </c>
    </row>
    <row r="130" spans="2:7" x14ac:dyDescent="0.3">
      <c r="B130" t="s">
        <v>282</v>
      </c>
      <c r="C130">
        <v>331.25</v>
      </c>
      <c r="D130">
        <v>1636507</v>
      </c>
      <c r="E130">
        <v>54.41</v>
      </c>
      <c r="F130">
        <v>3.54</v>
      </c>
      <c r="G130">
        <v>0</v>
      </c>
    </row>
    <row r="131" spans="2:7" x14ac:dyDescent="0.3">
      <c r="B131" t="s">
        <v>283</v>
      </c>
      <c r="C131">
        <v>333.7</v>
      </c>
      <c r="D131">
        <v>121497</v>
      </c>
      <c r="E131">
        <v>3.98</v>
      </c>
      <c r="F131">
        <v>-22.54</v>
      </c>
      <c r="G131">
        <v>-33.729999999999997</v>
      </c>
    </row>
    <row r="132" spans="2:7" x14ac:dyDescent="0.3">
      <c r="B132" t="s">
        <v>284</v>
      </c>
      <c r="C132">
        <v>334.25</v>
      </c>
      <c r="D132">
        <v>1849893</v>
      </c>
      <c r="E132">
        <v>61.5</v>
      </c>
      <c r="F132">
        <v>6.68</v>
      </c>
      <c r="G132">
        <v>89.31</v>
      </c>
    </row>
    <row r="133" spans="2:7" x14ac:dyDescent="0.3">
      <c r="B133" t="s">
        <v>285</v>
      </c>
      <c r="C133">
        <v>335.9</v>
      </c>
      <c r="D133">
        <v>1784442</v>
      </c>
      <c r="E133">
        <v>59.41</v>
      </c>
      <c r="F133">
        <v>20.21</v>
      </c>
      <c r="G133">
        <v>91.4</v>
      </c>
    </row>
    <row r="134" spans="2:7" x14ac:dyDescent="0.3">
      <c r="B134" t="s">
        <v>286</v>
      </c>
      <c r="C134">
        <v>336.25</v>
      </c>
      <c r="D134">
        <v>523960</v>
      </c>
      <c r="E134">
        <v>17.559999999999999</v>
      </c>
      <c r="F134">
        <v>-8.09</v>
      </c>
      <c r="G134">
        <v>127.5</v>
      </c>
    </row>
    <row r="135" spans="2:7" x14ac:dyDescent="0.3">
      <c r="B135" t="s">
        <v>287</v>
      </c>
      <c r="C135">
        <v>337.5</v>
      </c>
      <c r="D135">
        <v>821596</v>
      </c>
      <c r="E135">
        <v>28.75</v>
      </c>
      <c r="F135">
        <v>15.06</v>
      </c>
      <c r="G135">
        <v>35.11</v>
      </c>
    </row>
    <row r="136" spans="2:7" x14ac:dyDescent="0.3">
      <c r="B136" t="s">
        <v>288</v>
      </c>
      <c r="C136">
        <v>338.85</v>
      </c>
      <c r="D136">
        <v>676653</v>
      </c>
      <c r="E136">
        <v>22.45</v>
      </c>
      <c r="F136">
        <v>0.6</v>
      </c>
      <c r="G136">
        <v>-16.07</v>
      </c>
    </row>
    <row r="137" spans="2:7" x14ac:dyDescent="0.3">
      <c r="B137" t="s">
        <v>289</v>
      </c>
      <c r="C137">
        <v>339.4</v>
      </c>
      <c r="D137">
        <v>492702</v>
      </c>
      <c r="E137">
        <v>16.68</v>
      </c>
      <c r="F137">
        <v>1.05</v>
      </c>
      <c r="G137">
        <v>13.92</v>
      </c>
    </row>
    <row r="138" spans="2:7" x14ac:dyDescent="0.3">
      <c r="B138" t="s">
        <v>290</v>
      </c>
      <c r="C138">
        <v>339.85</v>
      </c>
      <c r="D138">
        <v>302497</v>
      </c>
      <c r="E138">
        <v>10.14</v>
      </c>
      <c r="F138">
        <v>-3.18</v>
      </c>
      <c r="G138">
        <v>-25.99</v>
      </c>
    </row>
    <row r="139" spans="2:7" x14ac:dyDescent="0.3">
      <c r="B139" t="s">
        <v>291</v>
      </c>
      <c r="C139">
        <v>339.95</v>
      </c>
      <c r="D139">
        <v>90932</v>
      </c>
      <c r="E139">
        <v>3.07</v>
      </c>
      <c r="F139">
        <v>-8.93</v>
      </c>
      <c r="G139">
        <v>-40.51</v>
      </c>
    </row>
    <row r="140" spans="2:7" x14ac:dyDescent="0.3">
      <c r="B140" t="s">
        <v>292</v>
      </c>
      <c r="C140">
        <v>341.15</v>
      </c>
      <c r="D140">
        <v>847197</v>
      </c>
      <c r="E140">
        <v>28.88</v>
      </c>
      <c r="F140">
        <v>1.46</v>
      </c>
      <c r="G140">
        <v>66.22</v>
      </c>
    </row>
    <row r="141" spans="2:7" x14ac:dyDescent="0.3">
      <c r="B141" t="s">
        <v>293</v>
      </c>
      <c r="C141">
        <v>343.95</v>
      </c>
      <c r="D141">
        <v>252463</v>
      </c>
      <c r="E141">
        <v>8.57</v>
      </c>
      <c r="F141">
        <v>-9.6199999999999992</v>
      </c>
      <c r="G141">
        <v>-44.38</v>
      </c>
    </row>
    <row r="142" spans="2:7" x14ac:dyDescent="0.3">
      <c r="B142" t="s">
        <v>294</v>
      </c>
      <c r="C142">
        <v>345.65</v>
      </c>
      <c r="D142">
        <v>789142</v>
      </c>
      <c r="E142">
        <v>26.82</v>
      </c>
      <c r="F142">
        <v>-16.91</v>
      </c>
      <c r="G142">
        <v>-40.270000000000003</v>
      </c>
    </row>
    <row r="143" spans="2:7" x14ac:dyDescent="0.3">
      <c r="B143" t="s">
        <v>295</v>
      </c>
      <c r="C143">
        <v>353.45</v>
      </c>
      <c r="D143">
        <v>36593</v>
      </c>
      <c r="E143">
        <v>1.29</v>
      </c>
      <c r="F143">
        <v>-11.6</v>
      </c>
      <c r="G143">
        <v>-10.14</v>
      </c>
    </row>
    <row r="144" spans="2:7" x14ac:dyDescent="0.3">
      <c r="B144" t="s">
        <v>296</v>
      </c>
      <c r="C144">
        <v>361.85</v>
      </c>
      <c r="D144">
        <v>534010</v>
      </c>
      <c r="E144">
        <v>19.149999999999999</v>
      </c>
      <c r="F144">
        <v>-8.69</v>
      </c>
      <c r="G144">
        <v>-8.4700000000000006</v>
      </c>
    </row>
    <row r="145" spans="2:7" x14ac:dyDescent="0.3">
      <c r="B145" t="s">
        <v>297</v>
      </c>
      <c r="C145">
        <v>363.65</v>
      </c>
      <c r="D145">
        <v>8039529</v>
      </c>
      <c r="E145">
        <v>298.14999999999998</v>
      </c>
      <c r="F145">
        <v>-10.44</v>
      </c>
      <c r="G145">
        <v>-37.14</v>
      </c>
    </row>
    <row r="146" spans="2:7" x14ac:dyDescent="0.3">
      <c r="B146" t="s">
        <v>298</v>
      </c>
      <c r="C146">
        <v>364.1</v>
      </c>
      <c r="D146">
        <v>661061</v>
      </c>
      <c r="E146">
        <v>23.65</v>
      </c>
      <c r="F146">
        <v>-9.75</v>
      </c>
      <c r="G146">
        <v>0.1</v>
      </c>
    </row>
    <row r="147" spans="2:7" x14ac:dyDescent="0.3">
      <c r="B147" t="s">
        <v>299</v>
      </c>
      <c r="C147">
        <v>368.4</v>
      </c>
      <c r="D147">
        <v>1723096</v>
      </c>
      <c r="E147">
        <v>64.319999999999993</v>
      </c>
      <c r="F147">
        <v>5.86</v>
      </c>
      <c r="G147">
        <v>35.79</v>
      </c>
    </row>
    <row r="148" spans="2:7" x14ac:dyDescent="0.3">
      <c r="B148" t="s">
        <v>300</v>
      </c>
      <c r="C148">
        <v>371.7</v>
      </c>
      <c r="D148">
        <v>559435</v>
      </c>
      <c r="E148">
        <v>21.27</v>
      </c>
      <c r="F148">
        <v>-8.81</v>
      </c>
      <c r="G148">
        <v>-19.690000000000001</v>
      </c>
    </row>
    <row r="149" spans="2:7" x14ac:dyDescent="0.3">
      <c r="B149" t="s">
        <v>301</v>
      </c>
      <c r="C149">
        <v>373.55</v>
      </c>
      <c r="D149">
        <v>4173283</v>
      </c>
      <c r="E149">
        <v>157.91999999999999</v>
      </c>
      <c r="F149">
        <v>6.66</v>
      </c>
      <c r="G149">
        <v>55.58</v>
      </c>
    </row>
    <row r="150" spans="2:7" x14ac:dyDescent="0.3">
      <c r="B150" t="s">
        <v>302</v>
      </c>
      <c r="C150">
        <v>382.15</v>
      </c>
      <c r="D150">
        <v>279635</v>
      </c>
      <c r="E150">
        <v>10.62</v>
      </c>
      <c r="F150">
        <v>5.03</v>
      </c>
      <c r="G150">
        <v>-20.82</v>
      </c>
    </row>
    <row r="151" spans="2:7" x14ac:dyDescent="0.3">
      <c r="B151" t="s">
        <v>303</v>
      </c>
      <c r="C151">
        <v>383.4</v>
      </c>
      <c r="D151">
        <v>261325</v>
      </c>
      <c r="E151">
        <v>10.02</v>
      </c>
      <c r="F151">
        <v>-6.71</v>
      </c>
      <c r="G151">
        <v>-5.3</v>
      </c>
    </row>
    <row r="152" spans="2:7" x14ac:dyDescent="0.3">
      <c r="B152" t="s">
        <v>304</v>
      </c>
      <c r="C152">
        <v>387.55</v>
      </c>
      <c r="D152">
        <v>358624</v>
      </c>
      <c r="E152">
        <v>13.84</v>
      </c>
      <c r="F152">
        <v>-4.09</v>
      </c>
      <c r="G152">
        <v>-39.93</v>
      </c>
    </row>
    <row r="153" spans="2:7" x14ac:dyDescent="0.3">
      <c r="B153" t="s">
        <v>305</v>
      </c>
      <c r="C153">
        <v>393.55</v>
      </c>
      <c r="D153">
        <v>82862</v>
      </c>
      <c r="E153">
        <v>3.28</v>
      </c>
      <c r="F153">
        <v>-12.24</v>
      </c>
      <c r="G153">
        <v>-14.25</v>
      </c>
    </row>
    <row r="154" spans="2:7" x14ac:dyDescent="0.3">
      <c r="B154" t="s">
        <v>306</v>
      </c>
      <c r="C154">
        <v>405.7</v>
      </c>
      <c r="D154">
        <v>2065963</v>
      </c>
      <c r="E154">
        <v>83.29</v>
      </c>
      <c r="F154">
        <v>-17.82</v>
      </c>
      <c r="G154">
        <v>-55.24</v>
      </c>
    </row>
    <row r="155" spans="2:7" x14ac:dyDescent="0.3">
      <c r="B155" t="s">
        <v>307</v>
      </c>
      <c r="C155">
        <v>408.55</v>
      </c>
      <c r="D155">
        <v>114272</v>
      </c>
      <c r="E155">
        <v>4.5999999999999996</v>
      </c>
      <c r="F155">
        <v>-11.26</v>
      </c>
      <c r="G155">
        <v>-31.76</v>
      </c>
    </row>
    <row r="156" spans="2:7" x14ac:dyDescent="0.3">
      <c r="B156" t="s">
        <v>308</v>
      </c>
      <c r="C156">
        <v>412.6</v>
      </c>
      <c r="D156">
        <v>862025</v>
      </c>
      <c r="E156">
        <v>35.15</v>
      </c>
      <c r="F156">
        <v>9.06</v>
      </c>
      <c r="G156">
        <v>33.89</v>
      </c>
    </row>
    <row r="157" spans="2:7" x14ac:dyDescent="0.3">
      <c r="B157" t="s">
        <v>309</v>
      </c>
      <c r="C157">
        <v>415.3</v>
      </c>
      <c r="D157">
        <v>353280</v>
      </c>
      <c r="E157">
        <v>14.53</v>
      </c>
      <c r="F157">
        <v>5.48</v>
      </c>
      <c r="G157">
        <v>1.52</v>
      </c>
    </row>
    <row r="158" spans="2:7" x14ac:dyDescent="0.3">
      <c r="B158" t="s">
        <v>310</v>
      </c>
      <c r="C158">
        <v>415.95</v>
      </c>
      <c r="D158">
        <v>25784</v>
      </c>
      <c r="E158">
        <v>1.07</v>
      </c>
      <c r="F158">
        <v>-2.0299999999999998</v>
      </c>
      <c r="G158">
        <v>0</v>
      </c>
    </row>
    <row r="159" spans="2:7" x14ac:dyDescent="0.3">
      <c r="B159" t="s">
        <v>311</v>
      </c>
      <c r="C159">
        <v>417.9</v>
      </c>
      <c r="D159">
        <v>10424699</v>
      </c>
      <c r="E159">
        <v>440.74</v>
      </c>
      <c r="F159">
        <v>4.12</v>
      </c>
      <c r="G159">
        <v>53.92</v>
      </c>
    </row>
    <row r="160" spans="2:7" x14ac:dyDescent="0.3">
      <c r="B160" t="s">
        <v>312</v>
      </c>
      <c r="C160">
        <v>418.5</v>
      </c>
      <c r="D160">
        <v>3908840</v>
      </c>
      <c r="E160">
        <v>163.32</v>
      </c>
      <c r="F160">
        <v>6.72</v>
      </c>
      <c r="G160">
        <v>52.13</v>
      </c>
    </row>
    <row r="161" spans="2:7" x14ac:dyDescent="0.3">
      <c r="B161" t="s">
        <v>313</v>
      </c>
      <c r="C161">
        <v>418.65</v>
      </c>
      <c r="D161">
        <v>446106</v>
      </c>
      <c r="E161">
        <v>18.54</v>
      </c>
      <c r="F161">
        <v>-7.79</v>
      </c>
      <c r="G161">
        <v>-22.74</v>
      </c>
    </row>
    <row r="162" spans="2:7" x14ac:dyDescent="0.3">
      <c r="B162" t="s">
        <v>314</v>
      </c>
      <c r="C162">
        <v>419</v>
      </c>
      <c r="D162">
        <v>461612</v>
      </c>
      <c r="E162">
        <v>19.670000000000002</v>
      </c>
      <c r="F162">
        <v>-10.4</v>
      </c>
      <c r="G162">
        <v>-46.15</v>
      </c>
    </row>
    <row r="163" spans="2:7" x14ac:dyDescent="0.3">
      <c r="B163" t="s">
        <v>315</v>
      </c>
      <c r="C163">
        <v>421.15</v>
      </c>
      <c r="D163">
        <v>286939</v>
      </c>
      <c r="E163">
        <v>12.09</v>
      </c>
      <c r="F163">
        <v>-4.08</v>
      </c>
      <c r="G163">
        <v>-24.99</v>
      </c>
    </row>
    <row r="164" spans="2:7" x14ac:dyDescent="0.3">
      <c r="B164" t="s">
        <v>316</v>
      </c>
      <c r="C164">
        <v>421.5</v>
      </c>
      <c r="D164">
        <v>108126</v>
      </c>
      <c r="E164">
        <v>4.5999999999999996</v>
      </c>
      <c r="F164">
        <v>1.27</v>
      </c>
      <c r="G164">
        <v>-14.39</v>
      </c>
    </row>
    <row r="165" spans="2:7" x14ac:dyDescent="0.3">
      <c r="B165" t="s">
        <v>317</v>
      </c>
      <c r="C165">
        <v>422.3</v>
      </c>
      <c r="D165">
        <v>86541</v>
      </c>
      <c r="E165">
        <v>3.67</v>
      </c>
      <c r="F165">
        <v>-4.2300000000000004</v>
      </c>
      <c r="G165">
        <v>-22.58</v>
      </c>
    </row>
    <row r="166" spans="2:7" x14ac:dyDescent="0.3">
      <c r="B166" t="s">
        <v>318</v>
      </c>
      <c r="C166">
        <v>431.05</v>
      </c>
      <c r="D166">
        <v>688251</v>
      </c>
      <c r="E166">
        <v>30.03</v>
      </c>
      <c r="F166">
        <v>14.43</v>
      </c>
      <c r="G166">
        <v>-6.18</v>
      </c>
    </row>
    <row r="167" spans="2:7" x14ac:dyDescent="0.3">
      <c r="B167" t="s">
        <v>319</v>
      </c>
      <c r="C167">
        <v>431.75</v>
      </c>
      <c r="D167">
        <v>786019</v>
      </c>
      <c r="E167">
        <v>34.450000000000003</v>
      </c>
      <c r="F167">
        <v>17.059999999999999</v>
      </c>
      <c r="G167">
        <v>6.06</v>
      </c>
    </row>
    <row r="168" spans="2:7" x14ac:dyDescent="0.3">
      <c r="B168" t="s">
        <v>320</v>
      </c>
      <c r="C168">
        <v>433.05</v>
      </c>
      <c r="D168">
        <v>136963</v>
      </c>
      <c r="E168">
        <v>5.84</v>
      </c>
      <c r="F168">
        <v>-2.2599999999999998</v>
      </c>
      <c r="G168">
        <v>-21.57</v>
      </c>
    </row>
    <row r="169" spans="2:7" x14ac:dyDescent="0.3">
      <c r="B169" t="s">
        <v>321</v>
      </c>
      <c r="C169">
        <v>435.2</v>
      </c>
      <c r="D169">
        <v>356144</v>
      </c>
      <c r="E169">
        <v>15.87</v>
      </c>
      <c r="F169">
        <v>15.66</v>
      </c>
      <c r="G169">
        <v>0</v>
      </c>
    </row>
    <row r="170" spans="2:7" x14ac:dyDescent="0.3">
      <c r="B170" t="s">
        <v>322</v>
      </c>
      <c r="C170">
        <v>440.35</v>
      </c>
      <c r="D170">
        <v>133171</v>
      </c>
      <c r="E170">
        <v>5.92</v>
      </c>
      <c r="F170">
        <v>-2.14</v>
      </c>
      <c r="G170">
        <v>-18.510000000000002</v>
      </c>
    </row>
    <row r="171" spans="2:7" x14ac:dyDescent="0.3">
      <c r="B171" t="s">
        <v>323</v>
      </c>
      <c r="C171">
        <v>450.55</v>
      </c>
      <c r="D171">
        <v>870647</v>
      </c>
      <c r="E171">
        <v>38.26</v>
      </c>
      <c r="F171">
        <v>-12.53</v>
      </c>
      <c r="G171">
        <v>-43.88</v>
      </c>
    </row>
    <row r="172" spans="2:7" x14ac:dyDescent="0.3">
      <c r="B172" t="s">
        <v>324</v>
      </c>
      <c r="C172">
        <v>450.85</v>
      </c>
      <c r="D172">
        <v>554256</v>
      </c>
      <c r="E172">
        <v>25.12</v>
      </c>
      <c r="F172">
        <v>4.34</v>
      </c>
      <c r="G172">
        <v>87.58</v>
      </c>
    </row>
    <row r="173" spans="2:7" x14ac:dyDescent="0.3">
      <c r="B173" t="s">
        <v>325</v>
      </c>
      <c r="C173">
        <v>451.6</v>
      </c>
      <c r="D173">
        <v>1415841</v>
      </c>
      <c r="E173">
        <v>62.44</v>
      </c>
      <c r="F173">
        <v>-0.71</v>
      </c>
      <c r="G173">
        <v>-56.6</v>
      </c>
    </row>
    <row r="174" spans="2:7" x14ac:dyDescent="0.3">
      <c r="B174" t="s">
        <v>326</v>
      </c>
      <c r="C174">
        <v>453.5</v>
      </c>
      <c r="D174">
        <v>194146</v>
      </c>
      <c r="E174">
        <v>8.75</v>
      </c>
      <c r="F174">
        <v>-7.56</v>
      </c>
      <c r="G174">
        <v>-19.53</v>
      </c>
    </row>
    <row r="175" spans="2:7" x14ac:dyDescent="0.3">
      <c r="B175" t="s">
        <v>327</v>
      </c>
      <c r="C175">
        <v>454.9</v>
      </c>
      <c r="D175">
        <v>1267067</v>
      </c>
      <c r="E175">
        <v>57.07</v>
      </c>
      <c r="F175">
        <v>-4.67</v>
      </c>
      <c r="G175">
        <v>-2.75</v>
      </c>
    </row>
    <row r="176" spans="2:7" x14ac:dyDescent="0.3">
      <c r="B176" t="s">
        <v>328</v>
      </c>
      <c r="C176">
        <v>455.25</v>
      </c>
      <c r="D176">
        <v>963582</v>
      </c>
      <c r="E176">
        <v>43.09</v>
      </c>
      <c r="F176">
        <v>-6.37</v>
      </c>
      <c r="G176">
        <v>4.3</v>
      </c>
    </row>
    <row r="177" spans="2:7" x14ac:dyDescent="0.3">
      <c r="B177" t="s">
        <v>329</v>
      </c>
      <c r="C177">
        <v>455.25</v>
      </c>
      <c r="D177">
        <v>485637</v>
      </c>
      <c r="E177">
        <v>22.03</v>
      </c>
      <c r="F177">
        <v>5.86</v>
      </c>
      <c r="G177">
        <v>2.84</v>
      </c>
    </row>
    <row r="178" spans="2:7" x14ac:dyDescent="0.3">
      <c r="B178" t="s">
        <v>330</v>
      </c>
      <c r="C178">
        <v>460.55</v>
      </c>
      <c r="D178">
        <v>419478</v>
      </c>
      <c r="E178">
        <v>18.989999999999998</v>
      </c>
      <c r="F178">
        <v>-17.850000000000001</v>
      </c>
      <c r="G178">
        <v>0</v>
      </c>
    </row>
    <row r="179" spans="2:7" x14ac:dyDescent="0.3">
      <c r="B179" t="s">
        <v>331</v>
      </c>
      <c r="C179">
        <v>473</v>
      </c>
      <c r="D179">
        <v>389496</v>
      </c>
      <c r="E179">
        <v>18.32</v>
      </c>
      <c r="F179">
        <v>-9.36</v>
      </c>
      <c r="G179">
        <v>-42.45</v>
      </c>
    </row>
    <row r="180" spans="2:7" x14ac:dyDescent="0.3">
      <c r="B180" t="s">
        <v>332</v>
      </c>
      <c r="C180">
        <v>476.05</v>
      </c>
      <c r="D180">
        <v>683211</v>
      </c>
      <c r="E180">
        <v>32.15</v>
      </c>
      <c r="F180">
        <v>-0.96</v>
      </c>
      <c r="G180">
        <v>56.62</v>
      </c>
    </row>
    <row r="181" spans="2:7" x14ac:dyDescent="0.3">
      <c r="B181" t="s">
        <v>333</v>
      </c>
      <c r="C181">
        <v>477</v>
      </c>
      <c r="D181">
        <v>5087063</v>
      </c>
      <c r="E181">
        <v>236.11</v>
      </c>
      <c r="F181">
        <v>6.56</v>
      </c>
      <c r="G181">
        <v>23.37</v>
      </c>
    </row>
    <row r="182" spans="2:7" x14ac:dyDescent="0.3">
      <c r="B182" t="s">
        <v>334</v>
      </c>
      <c r="C182">
        <v>479.65</v>
      </c>
      <c r="D182">
        <v>230829</v>
      </c>
      <c r="E182">
        <v>10.94</v>
      </c>
      <c r="F182">
        <v>-6.81</v>
      </c>
      <c r="G182">
        <v>-7.9</v>
      </c>
    </row>
    <row r="183" spans="2:7" x14ac:dyDescent="0.3">
      <c r="B183" t="s">
        <v>335</v>
      </c>
      <c r="C183">
        <v>484.55</v>
      </c>
      <c r="D183">
        <v>26825</v>
      </c>
      <c r="E183">
        <v>1.29</v>
      </c>
      <c r="F183">
        <v>-12.72</v>
      </c>
      <c r="G183">
        <v>-50.88</v>
      </c>
    </row>
    <row r="184" spans="2:7" x14ac:dyDescent="0.3">
      <c r="B184" t="s">
        <v>336</v>
      </c>
      <c r="C184">
        <v>484.7</v>
      </c>
      <c r="D184">
        <v>289839</v>
      </c>
      <c r="E184">
        <v>14.01</v>
      </c>
      <c r="F184">
        <v>-4.6900000000000004</v>
      </c>
      <c r="G184">
        <v>-29.83</v>
      </c>
    </row>
    <row r="185" spans="2:7" x14ac:dyDescent="0.3">
      <c r="B185" t="s">
        <v>337</v>
      </c>
      <c r="C185">
        <v>486.7</v>
      </c>
      <c r="D185">
        <v>294934</v>
      </c>
      <c r="E185">
        <v>14.26</v>
      </c>
      <c r="F185">
        <v>-10.1</v>
      </c>
      <c r="G185">
        <v>-15.38</v>
      </c>
    </row>
    <row r="186" spans="2:7" x14ac:dyDescent="0.3">
      <c r="B186" t="s">
        <v>338</v>
      </c>
      <c r="C186">
        <v>497.1</v>
      </c>
      <c r="D186">
        <v>742876</v>
      </c>
      <c r="E186">
        <v>37.630000000000003</v>
      </c>
      <c r="F186">
        <v>-3.12</v>
      </c>
      <c r="G186">
        <v>0.6</v>
      </c>
    </row>
    <row r="187" spans="2:7" x14ac:dyDescent="0.3">
      <c r="B187" t="s">
        <v>339</v>
      </c>
      <c r="C187">
        <v>498.75</v>
      </c>
      <c r="D187">
        <v>56131</v>
      </c>
      <c r="E187">
        <v>2.8</v>
      </c>
      <c r="F187">
        <v>-11.5</v>
      </c>
      <c r="G187">
        <v>-45.08</v>
      </c>
    </row>
    <row r="188" spans="2:7" x14ac:dyDescent="0.3">
      <c r="B188" t="s">
        <v>340</v>
      </c>
      <c r="C188">
        <v>499.85</v>
      </c>
      <c r="D188">
        <v>273561</v>
      </c>
      <c r="E188">
        <v>13.61</v>
      </c>
      <c r="F188">
        <v>-3.31</v>
      </c>
      <c r="G188">
        <v>28.12</v>
      </c>
    </row>
    <row r="189" spans="2:7" x14ac:dyDescent="0.3">
      <c r="B189" t="s">
        <v>341</v>
      </c>
      <c r="C189">
        <v>502.55</v>
      </c>
      <c r="D189">
        <v>76517</v>
      </c>
      <c r="E189">
        <v>3.84</v>
      </c>
      <c r="F189">
        <v>-4.9800000000000004</v>
      </c>
      <c r="G189">
        <v>-41.64</v>
      </c>
    </row>
    <row r="190" spans="2:7" x14ac:dyDescent="0.3">
      <c r="B190" t="s">
        <v>342</v>
      </c>
      <c r="C190">
        <v>503.35</v>
      </c>
      <c r="D190">
        <v>587336</v>
      </c>
      <c r="E190">
        <v>29.64</v>
      </c>
      <c r="F190">
        <v>-8.4600000000000009</v>
      </c>
      <c r="G190">
        <v>-13.17</v>
      </c>
    </row>
    <row r="191" spans="2:7" x14ac:dyDescent="0.3">
      <c r="B191" t="s">
        <v>343</v>
      </c>
      <c r="C191">
        <v>503.7</v>
      </c>
      <c r="D191">
        <v>448671</v>
      </c>
      <c r="E191">
        <v>22.35</v>
      </c>
      <c r="F191">
        <v>-1.51</v>
      </c>
      <c r="G191">
        <v>27.45</v>
      </c>
    </row>
    <row r="192" spans="2:7" x14ac:dyDescent="0.3">
      <c r="B192" t="s">
        <v>344</v>
      </c>
      <c r="C192">
        <v>505.45</v>
      </c>
      <c r="D192">
        <v>523561</v>
      </c>
      <c r="E192">
        <v>26.49</v>
      </c>
      <c r="F192">
        <v>-15.08</v>
      </c>
      <c r="G192">
        <v>-33.75</v>
      </c>
    </row>
    <row r="193" spans="2:7" x14ac:dyDescent="0.3">
      <c r="B193" t="s">
        <v>345</v>
      </c>
      <c r="C193">
        <v>512.95000000000005</v>
      </c>
      <c r="D193">
        <v>500496</v>
      </c>
      <c r="E193">
        <v>25.57</v>
      </c>
      <c r="F193">
        <v>-17.28</v>
      </c>
      <c r="G193">
        <v>-24.9</v>
      </c>
    </row>
    <row r="194" spans="2:7" x14ac:dyDescent="0.3">
      <c r="B194" t="s">
        <v>346</v>
      </c>
      <c r="C194">
        <v>514</v>
      </c>
      <c r="D194">
        <v>587106</v>
      </c>
      <c r="E194">
        <v>30.04</v>
      </c>
      <c r="F194">
        <v>-6.35</v>
      </c>
      <c r="G194">
        <v>-41.23</v>
      </c>
    </row>
    <row r="195" spans="2:7" x14ac:dyDescent="0.3">
      <c r="B195" t="s">
        <v>347</v>
      </c>
      <c r="C195">
        <v>519.70000000000005</v>
      </c>
      <c r="D195">
        <v>256670</v>
      </c>
      <c r="E195">
        <v>13.19</v>
      </c>
      <c r="F195">
        <v>-6.09</v>
      </c>
      <c r="G195">
        <v>21.31</v>
      </c>
    </row>
    <row r="196" spans="2:7" x14ac:dyDescent="0.3">
      <c r="B196" t="s">
        <v>348</v>
      </c>
      <c r="C196">
        <v>519.85</v>
      </c>
      <c r="D196">
        <v>5268817</v>
      </c>
      <c r="E196">
        <v>287.11</v>
      </c>
      <c r="F196">
        <v>10.029999999999999</v>
      </c>
      <c r="G196">
        <v>-6.32</v>
      </c>
    </row>
    <row r="197" spans="2:7" x14ac:dyDescent="0.3">
      <c r="B197" t="s">
        <v>349</v>
      </c>
      <c r="C197">
        <v>524.15</v>
      </c>
      <c r="D197">
        <v>410018</v>
      </c>
      <c r="E197">
        <v>21.7</v>
      </c>
      <c r="F197">
        <v>-2.0699999999999998</v>
      </c>
      <c r="G197">
        <v>0.41</v>
      </c>
    </row>
    <row r="198" spans="2:7" x14ac:dyDescent="0.3">
      <c r="B198" t="s">
        <v>350</v>
      </c>
      <c r="C198">
        <v>525.70000000000005</v>
      </c>
      <c r="D198">
        <v>564878</v>
      </c>
      <c r="E198">
        <v>29.33</v>
      </c>
      <c r="F198">
        <v>-7.84</v>
      </c>
      <c r="G198">
        <v>0</v>
      </c>
    </row>
    <row r="199" spans="2:7" x14ac:dyDescent="0.3">
      <c r="B199" t="s">
        <v>351</v>
      </c>
      <c r="C199">
        <v>532.85</v>
      </c>
      <c r="D199">
        <v>15102525</v>
      </c>
      <c r="E199">
        <v>812.62</v>
      </c>
      <c r="F199">
        <v>-1.04</v>
      </c>
      <c r="G199">
        <v>117.12</v>
      </c>
    </row>
    <row r="200" spans="2:7" x14ac:dyDescent="0.3">
      <c r="B200" t="s">
        <v>352</v>
      </c>
      <c r="C200">
        <v>538.25</v>
      </c>
      <c r="D200">
        <v>543690</v>
      </c>
      <c r="E200">
        <v>30.48</v>
      </c>
      <c r="F200">
        <v>-6.03</v>
      </c>
      <c r="G200">
        <v>-24.16</v>
      </c>
    </row>
    <row r="201" spans="2:7" x14ac:dyDescent="0.3">
      <c r="B201" t="s">
        <v>353</v>
      </c>
      <c r="C201">
        <v>539.79999999999995</v>
      </c>
      <c r="D201">
        <v>268255</v>
      </c>
      <c r="E201">
        <v>14.38</v>
      </c>
      <c r="F201">
        <v>-3.13</v>
      </c>
      <c r="G201">
        <v>12.35</v>
      </c>
    </row>
    <row r="202" spans="2:7" x14ac:dyDescent="0.3">
      <c r="B202" t="s">
        <v>354</v>
      </c>
      <c r="C202">
        <v>540.35</v>
      </c>
      <c r="D202">
        <v>653479</v>
      </c>
      <c r="E202">
        <v>34.9</v>
      </c>
      <c r="F202">
        <v>7.59</v>
      </c>
      <c r="G202">
        <v>12.04</v>
      </c>
    </row>
    <row r="203" spans="2:7" x14ac:dyDescent="0.3">
      <c r="B203" t="s">
        <v>355</v>
      </c>
      <c r="C203">
        <v>541.65</v>
      </c>
      <c r="D203">
        <v>1038353</v>
      </c>
      <c r="E203">
        <v>56.23</v>
      </c>
      <c r="F203">
        <v>15.83</v>
      </c>
      <c r="G203">
        <v>-18.59</v>
      </c>
    </row>
    <row r="204" spans="2:7" x14ac:dyDescent="0.3">
      <c r="B204" t="s">
        <v>356</v>
      </c>
      <c r="C204">
        <v>542.5</v>
      </c>
      <c r="D204">
        <v>244629</v>
      </c>
      <c r="E204">
        <v>13.04</v>
      </c>
      <c r="F204">
        <v>3.23</v>
      </c>
      <c r="G204">
        <v>33.520000000000003</v>
      </c>
    </row>
    <row r="205" spans="2:7" x14ac:dyDescent="0.3">
      <c r="B205" t="s">
        <v>357</v>
      </c>
      <c r="C205">
        <v>549.35</v>
      </c>
      <c r="D205">
        <v>747609</v>
      </c>
      <c r="E205">
        <v>41.67</v>
      </c>
      <c r="F205">
        <v>-25.63</v>
      </c>
      <c r="G205">
        <v>-10.18</v>
      </c>
    </row>
    <row r="206" spans="2:7" x14ac:dyDescent="0.3">
      <c r="B206" t="s">
        <v>358</v>
      </c>
      <c r="C206">
        <v>552.65</v>
      </c>
      <c r="D206">
        <v>63358</v>
      </c>
      <c r="E206">
        <v>3.47</v>
      </c>
      <c r="F206">
        <v>13.43</v>
      </c>
      <c r="G206">
        <v>5.91</v>
      </c>
    </row>
    <row r="207" spans="2:7" x14ac:dyDescent="0.3">
      <c r="B207" t="s">
        <v>359</v>
      </c>
      <c r="C207">
        <v>553.70000000000005</v>
      </c>
      <c r="D207">
        <v>1621300</v>
      </c>
      <c r="E207">
        <v>88.41</v>
      </c>
      <c r="F207">
        <v>-13.98</v>
      </c>
      <c r="G207">
        <v>-4.1900000000000004</v>
      </c>
    </row>
    <row r="208" spans="2:7" x14ac:dyDescent="0.3">
      <c r="B208" t="s">
        <v>360</v>
      </c>
      <c r="C208">
        <v>554.54999999999995</v>
      </c>
      <c r="D208">
        <v>309952</v>
      </c>
      <c r="E208">
        <v>17.54</v>
      </c>
      <c r="F208">
        <v>-3.07</v>
      </c>
      <c r="G208">
        <v>-19.55</v>
      </c>
    </row>
    <row r="209" spans="2:7" x14ac:dyDescent="0.3">
      <c r="B209" t="s">
        <v>361</v>
      </c>
      <c r="C209">
        <v>556.35</v>
      </c>
      <c r="D209">
        <v>80387</v>
      </c>
      <c r="E209">
        <v>4.4000000000000004</v>
      </c>
      <c r="F209">
        <v>-3.06</v>
      </c>
      <c r="G209">
        <v>-14.35</v>
      </c>
    </row>
    <row r="210" spans="2:7" x14ac:dyDescent="0.3">
      <c r="B210" t="s">
        <v>362</v>
      </c>
      <c r="C210">
        <v>558.15</v>
      </c>
      <c r="D210">
        <v>195180</v>
      </c>
      <c r="E210">
        <v>10.85</v>
      </c>
      <c r="F210">
        <v>3.4</v>
      </c>
      <c r="G210">
        <v>11.61</v>
      </c>
    </row>
    <row r="211" spans="2:7" x14ac:dyDescent="0.3">
      <c r="B211" t="s">
        <v>363</v>
      </c>
      <c r="C211">
        <v>561.65</v>
      </c>
      <c r="D211">
        <v>45830</v>
      </c>
      <c r="E211">
        <v>2.57</v>
      </c>
      <c r="F211">
        <v>-8.18</v>
      </c>
      <c r="G211">
        <v>-22.1</v>
      </c>
    </row>
    <row r="212" spans="2:7" x14ac:dyDescent="0.3">
      <c r="B212" t="s">
        <v>364</v>
      </c>
      <c r="C212">
        <v>568.85</v>
      </c>
      <c r="D212">
        <v>1869082</v>
      </c>
      <c r="E212">
        <v>108.2</v>
      </c>
      <c r="F212">
        <v>-1.54</v>
      </c>
      <c r="G212">
        <v>9.83</v>
      </c>
    </row>
    <row r="213" spans="2:7" x14ac:dyDescent="0.3">
      <c r="B213" t="s">
        <v>365</v>
      </c>
      <c r="C213">
        <v>569.45000000000005</v>
      </c>
      <c r="D213">
        <v>171583</v>
      </c>
      <c r="E213">
        <v>9.75</v>
      </c>
      <c r="F213">
        <v>-5.61</v>
      </c>
      <c r="G213">
        <v>31.41</v>
      </c>
    </row>
    <row r="214" spans="2:7" x14ac:dyDescent="0.3">
      <c r="B214" t="s">
        <v>366</v>
      </c>
      <c r="C214">
        <v>572.1</v>
      </c>
      <c r="D214">
        <v>289071</v>
      </c>
      <c r="E214">
        <v>16.48</v>
      </c>
      <c r="F214">
        <v>0.72</v>
      </c>
      <c r="G214">
        <v>30.44</v>
      </c>
    </row>
    <row r="215" spans="2:7" x14ac:dyDescent="0.3">
      <c r="B215" t="s">
        <v>367</v>
      </c>
      <c r="C215">
        <v>573.4</v>
      </c>
      <c r="D215">
        <v>1125030</v>
      </c>
      <c r="E215">
        <v>65.73</v>
      </c>
      <c r="F215">
        <v>0.37</v>
      </c>
      <c r="G215">
        <v>-6.59</v>
      </c>
    </row>
    <row r="216" spans="2:7" x14ac:dyDescent="0.3">
      <c r="B216" t="s">
        <v>368</v>
      </c>
      <c r="C216">
        <v>579.54999999999995</v>
      </c>
      <c r="D216">
        <v>305840</v>
      </c>
      <c r="E216">
        <v>17.649999999999999</v>
      </c>
      <c r="F216">
        <v>13.5</v>
      </c>
      <c r="G216">
        <v>-18.649999999999999</v>
      </c>
    </row>
    <row r="217" spans="2:7" x14ac:dyDescent="0.3">
      <c r="B217" t="s">
        <v>369</v>
      </c>
      <c r="C217">
        <v>580.6</v>
      </c>
      <c r="D217">
        <v>454425</v>
      </c>
      <c r="E217">
        <v>25.89</v>
      </c>
      <c r="F217">
        <v>-11.34</v>
      </c>
      <c r="G217">
        <v>9.94</v>
      </c>
    </row>
    <row r="218" spans="2:7" x14ac:dyDescent="0.3">
      <c r="B218" t="s">
        <v>370</v>
      </c>
      <c r="C218">
        <v>581.35</v>
      </c>
      <c r="D218">
        <v>1539846</v>
      </c>
      <c r="E218">
        <v>90.54</v>
      </c>
      <c r="F218">
        <v>1.5</v>
      </c>
      <c r="G218">
        <v>90.32</v>
      </c>
    </row>
    <row r="219" spans="2:7" x14ac:dyDescent="0.3">
      <c r="B219" t="s">
        <v>371</v>
      </c>
      <c r="C219">
        <v>581.5</v>
      </c>
      <c r="D219">
        <v>216832</v>
      </c>
      <c r="E219">
        <v>12.54</v>
      </c>
      <c r="F219">
        <v>-3.41</v>
      </c>
      <c r="G219">
        <v>-21.5</v>
      </c>
    </row>
    <row r="220" spans="2:7" x14ac:dyDescent="0.3">
      <c r="B220" t="s">
        <v>372</v>
      </c>
      <c r="C220">
        <v>582.20000000000005</v>
      </c>
      <c r="D220">
        <v>472099</v>
      </c>
      <c r="E220">
        <v>28.15</v>
      </c>
      <c r="F220">
        <v>7.42</v>
      </c>
      <c r="G220">
        <v>13.56</v>
      </c>
    </row>
    <row r="221" spans="2:7" x14ac:dyDescent="0.3">
      <c r="B221" t="s">
        <v>373</v>
      </c>
      <c r="C221">
        <v>582.5</v>
      </c>
      <c r="D221">
        <v>684383</v>
      </c>
      <c r="E221">
        <v>39.69</v>
      </c>
      <c r="F221">
        <v>-16.62</v>
      </c>
      <c r="G221">
        <v>-10.85</v>
      </c>
    </row>
    <row r="222" spans="2:7" x14ac:dyDescent="0.3">
      <c r="B222" t="s">
        <v>374</v>
      </c>
      <c r="C222">
        <v>583.70000000000005</v>
      </c>
      <c r="D222">
        <v>64910</v>
      </c>
      <c r="E222">
        <v>3.73</v>
      </c>
      <c r="F222">
        <v>-8.26</v>
      </c>
      <c r="G222">
        <v>-25.68</v>
      </c>
    </row>
    <row r="223" spans="2:7" x14ac:dyDescent="0.3">
      <c r="B223" t="s">
        <v>375</v>
      </c>
      <c r="C223">
        <v>584.4</v>
      </c>
      <c r="D223">
        <v>175793</v>
      </c>
      <c r="E223">
        <v>10.26</v>
      </c>
      <c r="F223">
        <v>-3.9</v>
      </c>
      <c r="G223">
        <v>42.32</v>
      </c>
    </row>
    <row r="224" spans="2:7" x14ac:dyDescent="0.3">
      <c r="B224" t="s">
        <v>376</v>
      </c>
      <c r="C224">
        <v>589.1</v>
      </c>
      <c r="D224">
        <v>850758</v>
      </c>
      <c r="E224">
        <v>48.14</v>
      </c>
      <c r="F224">
        <v>7.75</v>
      </c>
      <c r="G224">
        <v>14.16</v>
      </c>
    </row>
    <row r="225" spans="2:7" x14ac:dyDescent="0.3">
      <c r="B225" t="s">
        <v>377</v>
      </c>
      <c r="C225">
        <v>589.20000000000005</v>
      </c>
      <c r="D225">
        <v>239296</v>
      </c>
      <c r="E225">
        <v>14.01</v>
      </c>
      <c r="F225">
        <v>5.86</v>
      </c>
      <c r="G225">
        <v>6.66</v>
      </c>
    </row>
    <row r="226" spans="2:7" x14ac:dyDescent="0.3">
      <c r="B226" t="s">
        <v>378</v>
      </c>
      <c r="C226">
        <v>589.85</v>
      </c>
      <c r="D226">
        <v>44801</v>
      </c>
      <c r="E226">
        <v>2.64</v>
      </c>
      <c r="F226">
        <v>3.2</v>
      </c>
      <c r="G226">
        <v>0</v>
      </c>
    </row>
    <row r="227" spans="2:7" x14ac:dyDescent="0.3">
      <c r="B227" t="s">
        <v>379</v>
      </c>
      <c r="C227">
        <v>590.04999999999995</v>
      </c>
      <c r="D227">
        <v>2049808</v>
      </c>
      <c r="E227">
        <v>119.29</v>
      </c>
      <c r="F227">
        <v>12.19</v>
      </c>
      <c r="G227">
        <v>-1.97</v>
      </c>
    </row>
    <row r="228" spans="2:7" x14ac:dyDescent="0.3">
      <c r="B228" t="s">
        <v>380</v>
      </c>
      <c r="C228">
        <v>594.5</v>
      </c>
      <c r="D228">
        <v>320490</v>
      </c>
      <c r="E228">
        <v>19.22</v>
      </c>
      <c r="F228">
        <v>0.94</v>
      </c>
      <c r="G228">
        <v>19.43</v>
      </c>
    </row>
    <row r="229" spans="2:7" x14ac:dyDescent="0.3">
      <c r="B229" t="s">
        <v>381</v>
      </c>
      <c r="C229">
        <v>604.70000000000005</v>
      </c>
      <c r="D229">
        <v>1704618</v>
      </c>
      <c r="E229">
        <v>102.96</v>
      </c>
      <c r="F229">
        <v>14.15</v>
      </c>
      <c r="G229">
        <v>6.91</v>
      </c>
    </row>
    <row r="230" spans="2:7" x14ac:dyDescent="0.3">
      <c r="B230" t="s">
        <v>382</v>
      </c>
      <c r="C230">
        <v>607.15</v>
      </c>
      <c r="D230">
        <v>63167</v>
      </c>
      <c r="E230">
        <v>3.82</v>
      </c>
      <c r="F230">
        <v>-27.75</v>
      </c>
      <c r="G230">
        <v>-37.11</v>
      </c>
    </row>
    <row r="231" spans="2:7" x14ac:dyDescent="0.3">
      <c r="B231" t="s">
        <v>383</v>
      </c>
      <c r="C231">
        <v>607.70000000000005</v>
      </c>
      <c r="D231">
        <v>311583</v>
      </c>
      <c r="E231">
        <v>18.809999999999999</v>
      </c>
      <c r="F231">
        <v>-10.33</v>
      </c>
      <c r="G231">
        <v>-36.119999999999997</v>
      </c>
    </row>
    <row r="232" spans="2:7" x14ac:dyDescent="0.3">
      <c r="B232" t="s">
        <v>384</v>
      </c>
      <c r="C232">
        <v>608.29999999999995</v>
      </c>
      <c r="D232">
        <v>223548</v>
      </c>
      <c r="E232">
        <v>13.42</v>
      </c>
      <c r="F232">
        <v>-19.52</v>
      </c>
      <c r="G232">
        <v>-0.57999999999999996</v>
      </c>
    </row>
    <row r="233" spans="2:7" x14ac:dyDescent="0.3">
      <c r="B233" t="s">
        <v>385</v>
      </c>
      <c r="C233">
        <v>610.15</v>
      </c>
      <c r="D233">
        <v>288722</v>
      </c>
      <c r="E233">
        <v>18.04</v>
      </c>
      <c r="F233">
        <v>-1.39</v>
      </c>
      <c r="G233">
        <v>16.600000000000001</v>
      </c>
    </row>
    <row r="234" spans="2:7" x14ac:dyDescent="0.3">
      <c r="B234" t="s">
        <v>386</v>
      </c>
      <c r="C234">
        <v>614.6</v>
      </c>
      <c r="D234">
        <v>930980</v>
      </c>
      <c r="E234">
        <v>58.01</v>
      </c>
      <c r="F234">
        <v>-0.23</v>
      </c>
      <c r="G234">
        <v>24.44</v>
      </c>
    </row>
    <row r="235" spans="2:7" x14ac:dyDescent="0.3">
      <c r="B235" t="s">
        <v>387</v>
      </c>
      <c r="C235">
        <v>615.35</v>
      </c>
      <c r="D235">
        <v>158453</v>
      </c>
      <c r="E235">
        <v>9.74</v>
      </c>
      <c r="F235">
        <v>-5.34</v>
      </c>
      <c r="G235">
        <v>-2.0299999999999998</v>
      </c>
    </row>
    <row r="236" spans="2:7" x14ac:dyDescent="0.3">
      <c r="B236" t="s">
        <v>388</v>
      </c>
      <c r="C236">
        <v>625.85</v>
      </c>
      <c r="D236">
        <v>2109667</v>
      </c>
      <c r="E236">
        <v>130.27000000000001</v>
      </c>
      <c r="F236">
        <v>-0.39</v>
      </c>
      <c r="G236">
        <v>18.29</v>
      </c>
    </row>
    <row r="237" spans="2:7" x14ac:dyDescent="0.3">
      <c r="B237" t="s">
        <v>389</v>
      </c>
      <c r="C237">
        <v>627.45000000000005</v>
      </c>
      <c r="D237">
        <v>402965</v>
      </c>
      <c r="E237">
        <v>24.72</v>
      </c>
      <c r="F237">
        <v>-5.04</v>
      </c>
      <c r="G237">
        <v>2.4300000000000002</v>
      </c>
    </row>
    <row r="238" spans="2:7" x14ac:dyDescent="0.3">
      <c r="B238" t="s">
        <v>390</v>
      </c>
      <c r="C238">
        <v>628</v>
      </c>
      <c r="D238">
        <v>4680660</v>
      </c>
      <c r="E238">
        <v>286.11</v>
      </c>
      <c r="F238">
        <v>-0.37</v>
      </c>
      <c r="G238">
        <v>38.380000000000003</v>
      </c>
    </row>
    <row r="239" spans="2:7" x14ac:dyDescent="0.3">
      <c r="B239" t="s">
        <v>391</v>
      </c>
      <c r="C239">
        <v>628.29999999999995</v>
      </c>
      <c r="D239">
        <v>222414</v>
      </c>
      <c r="E239">
        <v>14.19</v>
      </c>
      <c r="F239">
        <v>-7.69</v>
      </c>
      <c r="G239">
        <v>2.1800000000000002</v>
      </c>
    </row>
    <row r="240" spans="2:7" x14ac:dyDescent="0.3">
      <c r="B240" t="s">
        <v>392</v>
      </c>
      <c r="C240">
        <v>638.20000000000005</v>
      </c>
      <c r="D240">
        <v>367633</v>
      </c>
      <c r="E240">
        <v>23.18</v>
      </c>
      <c r="F240">
        <v>5.19</v>
      </c>
      <c r="G240">
        <v>31.65</v>
      </c>
    </row>
    <row r="241" spans="2:7" x14ac:dyDescent="0.3">
      <c r="B241" t="s">
        <v>393</v>
      </c>
      <c r="C241">
        <v>644.9</v>
      </c>
      <c r="D241">
        <v>162290</v>
      </c>
      <c r="E241">
        <v>10.54</v>
      </c>
      <c r="F241">
        <v>0.85</v>
      </c>
      <c r="G241">
        <v>6.85</v>
      </c>
    </row>
    <row r="242" spans="2:7" x14ac:dyDescent="0.3">
      <c r="B242" t="s">
        <v>394</v>
      </c>
      <c r="C242">
        <v>663.45</v>
      </c>
      <c r="D242">
        <v>72744</v>
      </c>
      <c r="E242">
        <v>4.8600000000000003</v>
      </c>
      <c r="F242">
        <v>-3.61</v>
      </c>
      <c r="G242">
        <v>-19.2</v>
      </c>
    </row>
    <row r="243" spans="2:7" x14ac:dyDescent="0.3">
      <c r="B243" t="s">
        <v>395</v>
      </c>
      <c r="C243">
        <v>663.85</v>
      </c>
      <c r="D243">
        <v>141443</v>
      </c>
      <c r="E243">
        <v>9.35</v>
      </c>
      <c r="F243">
        <v>-8.27</v>
      </c>
      <c r="G243">
        <v>-46.52</v>
      </c>
    </row>
    <row r="244" spans="2:7" x14ac:dyDescent="0.3">
      <c r="B244" t="s">
        <v>396</v>
      </c>
      <c r="C244">
        <v>667.35</v>
      </c>
      <c r="D244">
        <v>134282</v>
      </c>
      <c r="E244">
        <v>9.06</v>
      </c>
      <c r="F244">
        <v>-11.04</v>
      </c>
      <c r="G244">
        <v>0</v>
      </c>
    </row>
    <row r="245" spans="2:7" x14ac:dyDescent="0.3">
      <c r="B245" t="s">
        <v>397</v>
      </c>
      <c r="C245">
        <v>670.65</v>
      </c>
      <c r="D245">
        <v>2178664</v>
      </c>
      <c r="E245">
        <v>145.43</v>
      </c>
      <c r="F245">
        <v>-11.3</v>
      </c>
      <c r="G245">
        <v>48.19</v>
      </c>
    </row>
    <row r="246" spans="2:7" x14ac:dyDescent="0.3">
      <c r="B246" t="s">
        <v>398</v>
      </c>
      <c r="C246">
        <v>671.7</v>
      </c>
      <c r="D246">
        <v>181931</v>
      </c>
      <c r="E246">
        <v>12.12</v>
      </c>
      <c r="F246">
        <v>-3.74</v>
      </c>
      <c r="G246">
        <v>-24.92</v>
      </c>
    </row>
    <row r="247" spans="2:7" x14ac:dyDescent="0.3">
      <c r="B247" t="s">
        <v>399</v>
      </c>
      <c r="C247">
        <v>672.1</v>
      </c>
      <c r="D247">
        <v>119925</v>
      </c>
      <c r="E247">
        <v>8.01</v>
      </c>
      <c r="F247">
        <v>-8.16</v>
      </c>
      <c r="G247">
        <v>-47.12</v>
      </c>
    </row>
    <row r="248" spans="2:7" x14ac:dyDescent="0.3">
      <c r="B248" t="s">
        <v>400</v>
      </c>
      <c r="C248">
        <v>673.6</v>
      </c>
      <c r="D248">
        <v>322590</v>
      </c>
      <c r="E248">
        <v>21.69</v>
      </c>
      <c r="F248">
        <v>24.07</v>
      </c>
      <c r="G248">
        <v>-8.5399999999999991</v>
      </c>
    </row>
    <row r="249" spans="2:7" x14ac:dyDescent="0.3">
      <c r="B249" t="s">
        <v>401</v>
      </c>
      <c r="C249">
        <v>675.3</v>
      </c>
      <c r="D249">
        <v>379943</v>
      </c>
      <c r="E249">
        <v>25.35</v>
      </c>
      <c r="F249">
        <v>-9.2200000000000006</v>
      </c>
      <c r="G249">
        <v>-5.75</v>
      </c>
    </row>
    <row r="250" spans="2:7" x14ac:dyDescent="0.3">
      <c r="B250" t="s">
        <v>402</v>
      </c>
      <c r="C250">
        <v>675.95</v>
      </c>
      <c r="D250">
        <v>377404</v>
      </c>
      <c r="E250">
        <v>26.01</v>
      </c>
      <c r="F250">
        <v>0.83</v>
      </c>
      <c r="G250">
        <v>-7.62</v>
      </c>
    </row>
    <row r="251" spans="2:7" x14ac:dyDescent="0.3">
      <c r="B251" t="s">
        <v>403</v>
      </c>
      <c r="C251">
        <v>680.65</v>
      </c>
      <c r="D251">
        <v>167344</v>
      </c>
      <c r="E251">
        <v>11.29</v>
      </c>
      <c r="F251">
        <v>14.3</v>
      </c>
      <c r="G251">
        <v>5.54</v>
      </c>
    </row>
    <row r="252" spans="2:7" x14ac:dyDescent="0.3">
      <c r="B252" t="s">
        <v>404</v>
      </c>
      <c r="C252">
        <v>687</v>
      </c>
      <c r="D252">
        <v>347995</v>
      </c>
      <c r="E252">
        <v>23.25</v>
      </c>
      <c r="F252">
        <v>13.05</v>
      </c>
      <c r="G252">
        <v>-3</v>
      </c>
    </row>
    <row r="253" spans="2:7" x14ac:dyDescent="0.3">
      <c r="B253" t="s">
        <v>405</v>
      </c>
      <c r="C253">
        <v>690.6</v>
      </c>
      <c r="D253">
        <v>123628</v>
      </c>
      <c r="E253">
        <v>8.75</v>
      </c>
      <c r="F253">
        <v>5.45</v>
      </c>
      <c r="G253">
        <v>4.34</v>
      </c>
    </row>
    <row r="254" spans="2:7" x14ac:dyDescent="0.3">
      <c r="B254" t="s">
        <v>406</v>
      </c>
      <c r="C254">
        <v>691.8</v>
      </c>
      <c r="D254">
        <v>349339</v>
      </c>
      <c r="E254">
        <v>23.95</v>
      </c>
      <c r="F254">
        <v>-5.01</v>
      </c>
      <c r="G254">
        <v>-28.61</v>
      </c>
    </row>
    <row r="255" spans="2:7" x14ac:dyDescent="0.3">
      <c r="B255" t="s">
        <v>407</v>
      </c>
      <c r="C255">
        <v>694.25</v>
      </c>
      <c r="D255">
        <v>149701</v>
      </c>
      <c r="E255">
        <v>10.15</v>
      </c>
      <c r="F255">
        <v>-1</v>
      </c>
      <c r="G255">
        <v>-19.579999999999998</v>
      </c>
    </row>
    <row r="256" spans="2:7" x14ac:dyDescent="0.3">
      <c r="B256" t="s">
        <v>408</v>
      </c>
      <c r="C256">
        <v>696.85</v>
      </c>
      <c r="D256">
        <v>1149008</v>
      </c>
      <c r="E256">
        <v>79.569999999999993</v>
      </c>
      <c r="F256">
        <v>-7.99</v>
      </c>
      <c r="G256">
        <v>-47.49</v>
      </c>
    </row>
    <row r="257" spans="2:7" x14ac:dyDescent="0.3">
      <c r="B257" t="s">
        <v>409</v>
      </c>
      <c r="C257">
        <v>697.85</v>
      </c>
      <c r="D257">
        <v>96607</v>
      </c>
      <c r="E257">
        <v>6.94</v>
      </c>
      <c r="F257">
        <v>-11.8</v>
      </c>
      <c r="G257">
        <v>-24.45</v>
      </c>
    </row>
    <row r="258" spans="2:7" x14ac:dyDescent="0.3">
      <c r="B258" t="s">
        <v>410</v>
      </c>
      <c r="C258">
        <v>701.3</v>
      </c>
      <c r="D258">
        <v>806230</v>
      </c>
      <c r="E258">
        <v>57.34</v>
      </c>
      <c r="F258">
        <v>-0.34</v>
      </c>
      <c r="G258">
        <v>24.58</v>
      </c>
    </row>
    <row r="259" spans="2:7" x14ac:dyDescent="0.3">
      <c r="B259" t="s">
        <v>411</v>
      </c>
      <c r="C259">
        <v>708.3</v>
      </c>
      <c r="D259">
        <v>140743</v>
      </c>
      <c r="E259">
        <v>9.8800000000000008</v>
      </c>
      <c r="F259">
        <v>-2.79</v>
      </c>
      <c r="G259">
        <v>36.15</v>
      </c>
    </row>
    <row r="260" spans="2:7" x14ac:dyDescent="0.3">
      <c r="B260" t="s">
        <v>412</v>
      </c>
      <c r="C260">
        <v>711.45</v>
      </c>
      <c r="D260">
        <v>1337773</v>
      </c>
      <c r="E260">
        <v>93.22</v>
      </c>
      <c r="F260">
        <v>10.75</v>
      </c>
      <c r="G260">
        <v>35.020000000000003</v>
      </c>
    </row>
    <row r="261" spans="2:7" x14ac:dyDescent="0.3">
      <c r="B261" t="s">
        <v>413</v>
      </c>
      <c r="C261">
        <v>728.5</v>
      </c>
      <c r="D261">
        <v>53257</v>
      </c>
      <c r="E261">
        <v>3.86</v>
      </c>
      <c r="F261">
        <v>-5.42</v>
      </c>
      <c r="G261">
        <v>-36.99</v>
      </c>
    </row>
    <row r="262" spans="2:7" x14ac:dyDescent="0.3">
      <c r="B262" t="s">
        <v>414</v>
      </c>
      <c r="C262">
        <v>729.5</v>
      </c>
      <c r="D262">
        <v>1556690</v>
      </c>
      <c r="E262">
        <v>111.61</v>
      </c>
      <c r="F262">
        <v>-9.2100000000000009</v>
      </c>
      <c r="G262">
        <v>-7.21</v>
      </c>
    </row>
    <row r="263" spans="2:7" x14ac:dyDescent="0.3">
      <c r="B263" t="s">
        <v>415</v>
      </c>
      <c r="C263">
        <v>731.25</v>
      </c>
      <c r="D263">
        <v>6705010</v>
      </c>
      <c r="E263">
        <v>503</v>
      </c>
      <c r="F263">
        <v>0.12</v>
      </c>
      <c r="G263">
        <v>-14.22</v>
      </c>
    </row>
    <row r="264" spans="2:7" x14ac:dyDescent="0.3">
      <c r="B264" t="s">
        <v>416</v>
      </c>
      <c r="C264">
        <v>734.25</v>
      </c>
      <c r="D264">
        <v>36292952</v>
      </c>
      <c r="E264" s="1">
        <v>3060.95</v>
      </c>
      <c r="F264">
        <v>18.739999999999998</v>
      </c>
      <c r="G264">
        <v>62.15</v>
      </c>
    </row>
    <row r="265" spans="2:7" x14ac:dyDescent="0.3">
      <c r="B265" t="s">
        <v>417</v>
      </c>
      <c r="C265">
        <v>736.6</v>
      </c>
      <c r="D265">
        <v>433609</v>
      </c>
      <c r="E265">
        <v>32.54</v>
      </c>
      <c r="F265">
        <v>5.81</v>
      </c>
      <c r="G265">
        <v>59.65</v>
      </c>
    </row>
    <row r="266" spans="2:7" x14ac:dyDescent="0.3">
      <c r="B266" t="s">
        <v>418</v>
      </c>
      <c r="C266">
        <v>739</v>
      </c>
      <c r="D266">
        <v>212122</v>
      </c>
      <c r="E266">
        <v>16.309999999999999</v>
      </c>
      <c r="F266">
        <v>-11</v>
      </c>
      <c r="G266">
        <v>-16.47</v>
      </c>
    </row>
    <row r="267" spans="2:7" x14ac:dyDescent="0.3">
      <c r="B267" t="s">
        <v>419</v>
      </c>
      <c r="C267">
        <v>744.1</v>
      </c>
      <c r="D267">
        <v>34000</v>
      </c>
      <c r="E267">
        <v>2.52</v>
      </c>
      <c r="F267">
        <v>-5.74</v>
      </c>
      <c r="G267">
        <v>-6.48</v>
      </c>
    </row>
    <row r="268" spans="2:7" x14ac:dyDescent="0.3">
      <c r="B268" t="s">
        <v>420</v>
      </c>
      <c r="C268">
        <v>745</v>
      </c>
      <c r="D268">
        <v>133312</v>
      </c>
      <c r="E268">
        <v>9.76</v>
      </c>
      <c r="F268">
        <v>0.56000000000000005</v>
      </c>
      <c r="G268">
        <v>14.34</v>
      </c>
    </row>
    <row r="269" spans="2:7" x14ac:dyDescent="0.3">
      <c r="B269" t="s">
        <v>421</v>
      </c>
      <c r="C269">
        <v>753.45</v>
      </c>
      <c r="D269">
        <v>589501</v>
      </c>
      <c r="E269">
        <v>44.25</v>
      </c>
      <c r="F269">
        <v>-10.72</v>
      </c>
      <c r="G269">
        <v>-3.88</v>
      </c>
    </row>
    <row r="270" spans="2:7" x14ac:dyDescent="0.3">
      <c r="B270" t="s">
        <v>422</v>
      </c>
      <c r="C270">
        <v>758.6</v>
      </c>
      <c r="D270">
        <v>304363</v>
      </c>
      <c r="E270">
        <v>22.67</v>
      </c>
      <c r="F270">
        <v>1.17</v>
      </c>
      <c r="G270">
        <v>43.7</v>
      </c>
    </row>
    <row r="271" spans="2:7" x14ac:dyDescent="0.3">
      <c r="B271" t="s">
        <v>423</v>
      </c>
      <c r="C271">
        <v>763.7</v>
      </c>
      <c r="D271">
        <v>361348</v>
      </c>
      <c r="E271">
        <v>27.31</v>
      </c>
      <c r="F271">
        <v>-6.1</v>
      </c>
      <c r="G271">
        <v>-29.37</v>
      </c>
    </row>
    <row r="272" spans="2:7" x14ac:dyDescent="0.3">
      <c r="B272" t="s">
        <v>424</v>
      </c>
      <c r="C272">
        <v>764.5</v>
      </c>
      <c r="D272">
        <v>481002</v>
      </c>
      <c r="E272">
        <v>37</v>
      </c>
      <c r="F272">
        <v>-5.68</v>
      </c>
      <c r="G272">
        <v>2.25</v>
      </c>
    </row>
    <row r="273" spans="2:7" x14ac:dyDescent="0.3">
      <c r="B273" t="s">
        <v>425</v>
      </c>
      <c r="C273">
        <v>768.8</v>
      </c>
      <c r="D273">
        <v>1286601</v>
      </c>
      <c r="E273">
        <v>98.75</v>
      </c>
      <c r="F273">
        <v>19.91</v>
      </c>
      <c r="G273">
        <v>175.68</v>
      </c>
    </row>
    <row r="274" spans="2:7" x14ac:dyDescent="0.3">
      <c r="B274" t="s">
        <v>426</v>
      </c>
      <c r="C274">
        <v>770.9</v>
      </c>
      <c r="D274">
        <v>261045</v>
      </c>
      <c r="E274">
        <v>20.04</v>
      </c>
      <c r="F274">
        <v>2.36</v>
      </c>
      <c r="G274">
        <v>70.680000000000007</v>
      </c>
    </row>
    <row r="275" spans="2:7" x14ac:dyDescent="0.3">
      <c r="B275" t="s">
        <v>427</v>
      </c>
      <c r="C275">
        <v>778.55</v>
      </c>
      <c r="D275">
        <v>218533</v>
      </c>
      <c r="E275">
        <v>16.88</v>
      </c>
      <c r="F275">
        <v>28.2</v>
      </c>
      <c r="G275">
        <v>44.39</v>
      </c>
    </row>
    <row r="276" spans="2:7" x14ac:dyDescent="0.3">
      <c r="B276" t="s">
        <v>428</v>
      </c>
      <c r="C276">
        <v>781.3</v>
      </c>
      <c r="D276">
        <v>287821</v>
      </c>
      <c r="E276">
        <v>22.5</v>
      </c>
      <c r="F276">
        <v>-3.15</v>
      </c>
      <c r="G276">
        <v>3.59</v>
      </c>
    </row>
    <row r="277" spans="2:7" x14ac:dyDescent="0.3">
      <c r="B277" t="s">
        <v>429</v>
      </c>
      <c r="C277">
        <v>785.2</v>
      </c>
      <c r="D277">
        <v>172473</v>
      </c>
      <c r="E277">
        <v>13.46</v>
      </c>
      <c r="F277">
        <v>-1.6</v>
      </c>
      <c r="G277">
        <v>-28.83</v>
      </c>
    </row>
    <row r="278" spans="2:7" x14ac:dyDescent="0.3">
      <c r="B278" t="s">
        <v>430</v>
      </c>
      <c r="C278">
        <v>790</v>
      </c>
      <c r="D278">
        <v>160929</v>
      </c>
      <c r="E278">
        <v>12.61</v>
      </c>
      <c r="F278">
        <v>33.18</v>
      </c>
      <c r="G278">
        <v>63.11</v>
      </c>
    </row>
    <row r="279" spans="2:7" x14ac:dyDescent="0.3">
      <c r="B279" t="s">
        <v>431</v>
      </c>
      <c r="C279">
        <v>790.35</v>
      </c>
      <c r="D279">
        <v>1498226</v>
      </c>
      <c r="E279">
        <v>117.41</v>
      </c>
      <c r="F279">
        <v>-10.35</v>
      </c>
      <c r="G279">
        <v>21.64</v>
      </c>
    </row>
    <row r="280" spans="2:7" x14ac:dyDescent="0.3">
      <c r="B280" t="s">
        <v>432</v>
      </c>
      <c r="C280">
        <v>791.2</v>
      </c>
      <c r="D280">
        <v>99776</v>
      </c>
      <c r="E280">
        <v>7.87</v>
      </c>
      <c r="F280">
        <v>-6.48</v>
      </c>
      <c r="G280">
        <v>-18.989999999999998</v>
      </c>
    </row>
    <row r="281" spans="2:7" x14ac:dyDescent="0.3">
      <c r="B281" t="s">
        <v>433</v>
      </c>
      <c r="C281">
        <v>795.9</v>
      </c>
      <c r="D281">
        <v>90922</v>
      </c>
      <c r="E281">
        <v>7.17</v>
      </c>
      <c r="F281">
        <v>-3.81</v>
      </c>
      <c r="G281">
        <v>-11.29</v>
      </c>
    </row>
    <row r="282" spans="2:7" x14ac:dyDescent="0.3">
      <c r="B282" t="s">
        <v>434</v>
      </c>
      <c r="C282">
        <v>797.6</v>
      </c>
      <c r="D282">
        <v>225807</v>
      </c>
      <c r="E282">
        <v>17.93</v>
      </c>
      <c r="F282">
        <v>-3.03</v>
      </c>
      <c r="G282">
        <v>5.94</v>
      </c>
    </row>
    <row r="283" spans="2:7" x14ac:dyDescent="0.3">
      <c r="B283" t="s">
        <v>435</v>
      </c>
      <c r="C283">
        <v>798.5</v>
      </c>
      <c r="D283">
        <v>610440</v>
      </c>
      <c r="E283">
        <v>48.2</v>
      </c>
      <c r="F283">
        <v>-9.83</v>
      </c>
      <c r="G283">
        <v>15.81</v>
      </c>
    </row>
    <row r="284" spans="2:7" x14ac:dyDescent="0.3">
      <c r="B284" t="s">
        <v>436</v>
      </c>
      <c r="C284">
        <v>804</v>
      </c>
      <c r="D284">
        <v>549181</v>
      </c>
      <c r="E284">
        <v>43.87</v>
      </c>
      <c r="F284">
        <v>-2.27</v>
      </c>
      <c r="G284">
        <v>79.459999999999994</v>
      </c>
    </row>
    <row r="285" spans="2:7" x14ac:dyDescent="0.3">
      <c r="B285" t="s">
        <v>437</v>
      </c>
      <c r="C285">
        <v>805</v>
      </c>
      <c r="D285">
        <v>167593</v>
      </c>
      <c r="E285">
        <v>13.3</v>
      </c>
      <c r="F285">
        <v>-2.21</v>
      </c>
      <c r="G285">
        <v>-42.01</v>
      </c>
    </row>
    <row r="286" spans="2:7" x14ac:dyDescent="0.3">
      <c r="B286" t="s">
        <v>438</v>
      </c>
      <c r="C286">
        <v>808.5</v>
      </c>
      <c r="D286">
        <v>86236</v>
      </c>
      <c r="E286">
        <v>7.01</v>
      </c>
      <c r="F286">
        <v>-1.58</v>
      </c>
      <c r="G286">
        <v>-12.88</v>
      </c>
    </row>
    <row r="287" spans="2:7" x14ac:dyDescent="0.3">
      <c r="B287" t="s">
        <v>439</v>
      </c>
      <c r="C287">
        <v>824.05</v>
      </c>
      <c r="D287">
        <v>106837</v>
      </c>
      <c r="E287">
        <v>8.69</v>
      </c>
      <c r="F287">
        <v>2.77</v>
      </c>
      <c r="G287">
        <v>-0.55000000000000004</v>
      </c>
    </row>
    <row r="288" spans="2:7" x14ac:dyDescent="0.3">
      <c r="B288" t="s">
        <v>440</v>
      </c>
      <c r="C288">
        <v>824.65</v>
      </c>
      <c r="D288">
        <v>101696</v>
      </c>
      <c r="E288">
        <v>8.35</v>
      </c>
      <c r="F288">
        <v>3.2</v>
      </c>
      <c r="G288">
        <v>10.199999999999999</v>
      </c>
    </row>
    <row r="289" spans="2:7" x14ac:dyDescent="0.3">
      <c r="B289" t="s">
        <v>441</v>
      </c>
      <c r="C289">
        <v>824.7</v>
      </c>
      <c r="D289">
        <v>4381757</v>
      </c>
      <c r="E289">
        <v>374.46</v>
      </c>
      <c r="F289">
        <v>35.53</v>
      </c>
      <c r="G289">
        <v>639.45000000000005</v>
      </c>
    </row>
    <row r="290" spans="2:7" x14ac:dyDescent="0.3">
      <c r="B290" t="s">
        <v>442</v>
      </c>
      <c r="C290">
        <v>825.75</v>
      </c>
      <c r="D290">
        <v>537495</v>
      </c>
      <c r="E290">
        <v>44.38</v>
      </c>
      <c r="F290">
        <v>-9.92</v>
      </c>
      <c r="G290">
        <v>-1.84</v>
      </c>
    </row>
    <row r="291" spans="2:7" x14ac:dyDescent="0.3">
      <c r="B291" t="s">
        <v>443</v>
      </c>
      <c r="C291">
        <v>828.4</v>
      </c>
      <c r="D291">
        <v>196496</v>
      </c>
      <c r="E291">
        <v>16.23</v>
      </c>
      <c r="F291">
        <v>16.329999999999998</v>
      </c>
      <c r="G291">
        <v>5.4</v>
      </c>
    </row>
    <row r="292" spans="2:7" x14ac:dyDescent="0.3">
      <c r="B292" t="s">
        <v>444</v>
      </c>
      <c r="C292">
        <v>830.25</v>
      </c>
      <c r="D292">
        <v>162108</v>
      </c>
      <c r="E292">
        <v>13.41</v>
      </c>
      <c r="F292">
        <v>3.94</v>
      </c>
      <c r="G292">
        <v>-29.49</v>
      </c>
    </row>
    <row r="293" spans="2:7" x14ac:dyDescent="0.3">
      <c r="B293" t="s">
        <v>445</v>
      </c>
      <c r="C293">
        <v>837.15</v>
      </c>
      <c r="D293">
        <v>414240</v>
      </c>
      <c r="E293">
        <v>33.68</v>
      </c>
      <c r="F293">
        <v>-11.09</v>
      </c>
      <c r="G293">
        <v>22.33</v>
      </c>
    </row>
    <row r="294" spans="2:7" x14ac:dyDescent="0.3">
      <c r="B294" t="s">
        <v>446</v>
      </c>
      <c r="C294">
        <v>837.8</v>
      </c>
      <c r="D294">
        <v>297603</v>
      </c>
      <c r="E294">
        <v>24.92</v>
      </c>
      <c r="F294">
        <v>-10.81</v>
      </c>
      <c r="G294">
        <v>-18.72</v>
      </c>
    </row>
    <row r="295" spans="2:7" x14ac:dyDescent="0.3">
      <c r="B295" t="s">
        <v>447</v>
      </c>
      <c r="C295">
        <v>845.25</v>
      </c>
      <c r="D295">
        <v>94062</v>
      </c>
      <c r="E295">
        <v>7.88</v>
      </c>
      <c r="F295">
        <v>-8.43</v>
      </c>
      <c r="G295">
        <v>-19.93</v>
      </c>
    </row>
    <row r="296" spans="2:7" x14ac:dyDescent="0.3">
      <c r="B296" t="s">
        <v>448</v>
      </c>
      <c r="C296">
        <v>849.45</v>
      </c>
      <c r="D296">
        <v>163818</v>
      </c>
      <c r="E296">
        <v>13.81</v>
      </c>
      <c r="F296">
        <v>3.24</v>
      </c>
      <c r="G296">
        <v>36.659999999999997</v>
      </c>
    </row>
    <row r="297" spans="2:7" x14ac:dyDescent="0.3">
      <c r="B297" t="s">
        <v>449</v>
      </c>
      <c r="C297">
        <v>854.3</v>
      </c>
      <c r="D297">
        <v>82083</v>
      </c>
      <c r="E297">
        <v>6.93</v>
      </c>
      <c r="F297">
        <v>-8.7899999999999991</v>
      </c>
      <c r="G297">
        <v>-34.89</v>
      </c>
    </row>
    <row r="298" spans="2:7" x14ac:dyDescent="0.3">
      <c r="B298" t="s">
        <v>450</v>
      </c>
      <c r="C298">
        <v>857.8</v>
      </c>
      <c r="D298">
        <v>5497465</v>
      </c>
      <c r="E298">
        <v>439.63</v>
      </c>
      <c r="F298">
        <v>31.95</v>
      </c>
      <c r="G298">
        <v>32.630000000000003</v>
      </c>
    </row>
    <row r="299" spans="2:7" x14ac:dyDescent="0.3">
      <c r="B299" t="s">
        <v>451</v>
      </c>
      <c r="C299">
        <v>862.7</v>
      </c>
      <c r="D299">
        <v>497731</v>
      </c>
      <c r="E299">
        <v>42.14</v>
      </c>
      <c r="F299">
        <v>-11.39</v>
      </c>
      <c r="G299">
        <v>37.21</v>
      </c>
    </row>
    <row r="300" spans="2:7" x14ac:dyDescent="0.3">
      <c r="B300" t="s">
        <v>452</v>
      </c>
      <c r="C300">
        <v>867</v>
      </c>
      <c r="D300">
        <v>557734</v>
      </c>
      <c r="E300">
        <v>46.63</v>
      </c>
      <c r="F300">
        <v>21.02</v>
      </c>
      <c r="G300">
        <v>-8.4499999999999993</v>
      </c>
    </row>
    <row r="301" spans="2:7" x14ac:dyDescent="0.3">
      <c r="B301" t="s">
        <v>453</v>
      </c>
      <c r="C301">
        <v>868.7</v>
      </c>
      <c r="D301">
        <v>1010562</v>
      </c>
      <c r="E301">
        <v>87.37</v>
      </c>
      <c r="F301">
        <v>7.18</v>
      </c>
      <c r="G301">
        <v>31.49</v>
      </c>
    </row>
    <row r="302" spans="2:7" x14ac:dyDescent="0.3">
      <c r="B302" t="s">
        <v>454</v>
      </c>
      <c r="C302">
        <v>871.45</v>
      </c>
      <c r="D302">
        <v>177473</v>
      </c>
      <c r="E302">
        <v>15.39</v>
      </c>
      <c r="F302">
        <v>-6.74</v>
      </c>
      <c r="G302">
        <v>-17.47</v>
      </c>
    </row>
    <row r="303" spans="2:7" x14ac:dyDescent="0.3">
      <c r="B303" t="s">
        <v>455</v>
      </c>
      <c r="C303">
        <v>880.8</v>
      </c>
      <c r="D303">
        <v>869717</v>
      </c>
      <c r="E303">
        <v>77.47</v>
      </c>
      <c r="F303">
        <v>3.4</v>
      </c>
      <c r="G303">
        <v>-0.87</v>
      </c>
    </row>
    <row r="304" spans="2:7" x14ac:dyDescent="0.3">
      <c r="B304" t="s">
        <v>456</v>
      </c>
      <c r="C304">
        <v>895.35</v>
      </c>
      <c r="D304">
        <v>1406377</v>
      </c>
      <c r="E304">
        <v>125.04</v>
      </c>
      <c r="F304">
        <v>0.76</v>
      </c>
      <c r="G304">
        <v>67.680000000000007</v>
      </c>
    </row>
    <row r="305" spans="2:7" x14ac:dyDescent="0.3">
      <c r="B305" t="s">
        <v>457</v>
      </c>
      <c r="C305">
        <v>897.75</v>
      </c>
      <c r="D305">
        <v>87296</v>
      </c>
      <c r="E305">
        <v>7.77</v>
      </c>
      <c r="F305">
        <v>3.52</v>
      </c>
      <c r="G305">
        <v>-13.58</v>
      </c>
    </row>
    <row r="306" spans="2:7" x14ac:dyDescent="0.3">
      <c r="B306" t="s">
        <v>458</v>
      </c>
      <c r="C306">
        <v>900.45</v>
      </c>
      <c r="D306">
        <v>57773</v>
      </c>
      <c r="E306">
        <v>5.2</v>
      </c>
      <c r="F306">
        <v>0.5</v>
      </c>
      <c r="G306">
        <v>-32.79</v>
      </c>
    </row>
    <row r="307" spans="2:7" x14ac:dyDescent="0.3">
      <c r="B307" t="s">
        <v>459</v>
      </c>
      <c r="C307">
        <v>915.65</v>
      </c>
      <c r="D307">
        <v>196499</v>
      </c>
      <c r="E307">
        <v>17.899999999999999</v>
      </c>
      <c r="F307">
        <v>-1.56</v>
      </c>
      <c r="G307">
        <v>38.869999999999997</v>
      </c>
    </row>
    <row r="308" spans="2:7" x14ac:dyDescent="0.3">
      <c r="B308" t="s">
        <v>460</v>
      </c>
      <c r="C308">
        <v>925.1</v>
      </c>
      <c r="D308">
        <v>539427</v>
      </c>
      <c r="E308">
        <v>49.26</v>
      </c>
      <c r="F308">
        <v>-2.99</v>
      </c>
      <c r="G308">
        <v>-17.41</v>
      </c>
    </row>
    <row r="309" spans="2:7" x14ac:dyDescent="0.3">
      <c r="B309" t="s">
        <v>461</v>
      </c>
      <c r="C309">
        <v>926.8</v>
      </c>
      <c r="D309">
        <v>68604</v>
      </c>
      <c r="E309">
        <v>6.33</v>
      </c>
      <c r="F309">
        <v>5.03</v>
      </c>
      <c r="G309">
        <v>115.63</v>
      </c>
    </row>
    <row r="310" spans="2:7" x14ac:dyDescent="0.3">
      <c r="B310" t="s">
        <v>462</v>
      </c>
      <c r="C310">
        <v>948.55</v>
      </c>
      <c r="D310">
        <v>34602</v>
      </c>
      <c r="E310">
        <v>3.3</v>
      </c>
      <c r="F310">
        <v>-1.61</v>
      </c>
      <c r="G310">
        <v>-23.03</v>
      </c>
    </row>
    <row r="311" spans="2:7" x14ac:dyDescent="0.3">
      <c r="B311" t="s">
        <v>463</v>
      </c>
      <c r="C311">
        <v>955.6</v>
      </c>
      <c r="D311">
        <v>220637</v>
      </c>
      <c r="E311">
        <v>21.4</v>
      </c>
      <c r="F311">
        <v>7.49</v>
      </c>
      <c r="G311">
        <v>10.31</v>
      </c>
    </row>
    <row r="312" spans="2:7" x14ac:dyDescent="0.3">
      <c r="B312" t="s">
        <v>464</v>
      </c>
      <c r="C312">
        <v>959.9</v>
      </c>
      <c r="D312">
        <v>694978</v>
      </c>
      <c r="E312">
        <v>66.87</v>
      </c>
      <c r="F312">
        <v>26.66</v>
      </c>
      <c r="G312">
        <v>132.06</v>
      </c>
    </row>
    <row r="313" spans="2:7" x14ac:dyDescent="0.3">
      <c r="B313" t="s">
        <v>465</v>
      </c>
      <c r="C313">
        <v>964.7</v>
      </c>
      <c r="D313">
        <v>156026</v>
      </c>
      <c r="E313">
        <v>15.27</v>
      </c>
      <c r="F313">
        <v>-7.51</v>
      </c>
      <c r="G313">
        <v>-34.159999999999997</v>
      </c>
    </row>
    <row r="314" spans="2:7" x14ac:dyDescent="0.3">
      <c r="B314" t="s">
        <v>466</v>
      </c>
      <c r="C314">
        <v>968.8</v>
      </c>
      <c r="D314">
        <v>82810</v>
      </c>
      <c r="E314">
        <v>7.93</v>
      </c>
      <c r="F314">
        <v>-6.03</v>
      </c>
      <c r="G314">
        <v>-42.23</v>
      </c>
    </row>
    <row r="315" spans="2:7" x14ac:dyDescent="0.3">
      <c r="B315" t="s">
        <v>467</v>
      </c>
      <c r="C315">
        <v>969.9</v>
      </c>
      <c r="D315">
        <v>233441</v>
      </c>
      <c r="E315">
        <v>23.02</v>
      </c>
      <c r="F315">
        <v>13.5</v>
      </c>
      <c r="G315">
        <v>25.99</v>
      </c>
    </row>
    <row r="316" spans="2:7" x14ac:dyDescent="0.3">
      <c r="B316" t="s">
        <v>468</v>
      </c>
      <c r="C316">
        <v>997.75</v>
      </c>
      <c r="D316">
        <v>452808</v>
      </c>
      <c r="E316">
        <v>45.77</v>
      </c>
      <c r="F316">
        <v>9.44</v>
      </c>
      <c r="G316">
        <v>-8.08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9F7B-6CE3-42C0-A74A-B500C244F4A6}">
  <dimension ref="B2:R17"/>
  <sheetViews>
    <sheetView showGridLines="0" tabSelected="1" workbookViewId="0">
      <selection activeCell="F12" sqref="F12"/>
    </sheetView>
  </sheetViews>
  <sheetFormatPr defaultRowHeight="14.4" x14ac:dyDescent="0.3"/>
  <sheetData>
    <row r="2" spans="2:18" x14ac:dyDescent="0.3">
      <c r="B2" s="2" t="s">
        <v>469</v>
      </c>
      <c r="C2" s="2"/>
    </row>
    <row r="4" spans="2:18" x14ac:dyDescent="0.3">
      <c r="B4" t="s">
        <v>470</v>
      </c>
    </row>
    <row r="5" spans="2:18" x14ac:dyDescent="0.3">
      <c r="B5" s="3" t="s">
        <v>471</v>
      </c>
      <c r="C5" s="3"/>
      <c r="D5" s="3"/>
      <c r="E5" s="4"/>
      <c r="F5" t="s">
        <v>483</v>
      </c>
    </row>
    <row r="6" spans="2:18" x14ac:dyDescent="0.3">
      <c r="B6" t="s">
        <v>472</v>
      </c>
      <c r="E6" s="5"/>
    </row>
    <row r="7" spans="2:18" x14ac:dyDescent="0.3">
      <c r="B7" t="s">
        <v>473</v>
      </c>
      <c r="E7" s="5"/>
      <c r="F7" t="s">
        <v>484</v>
      </c>
    </row>
    <row r="8" spans="2:18" x14ac:dyDescent="0.3">
      <c r="B8" t="s">
        <v>474</v>
      </c>
      <c r="E8" s="5"/>
      <c r="F8" t="s">
        <v>484</v>
      </c>
    </row>
    <row r="9" spans="2:18" x14ac:dyDescent="0.3">
      <c r="B9" t="s">
        <v>475</v>
      </c>
      <c r="E9" s="5"/>
    </row>
    <row r="10" spans="2:18" x14ac:dyDescent="0.3">
      <c r="B10" s="6" t="s">
        <v>476</v>
      </c>
      <c r="C10" s="6"/>
      <c r="D10" s="6"/>
      <c r="E10" s="7"/>
    </row>
    <row r="13" spans="2:18" x14ac:dyDescent="0.3">
      <c r="B13" s="2" t="s">
        <v>477</v>
      </c>
      <c r="C13" s="2"/>
    </row>
    <row r="15" spans="2:18" x14ac:dyDescent="0.3">
      <c r="B15" s="2" t="s">
        <v>478</v>
      </c>
      <c r="C15" s="8"/>
      <c r="D15" t="s">
        <v>482</v>
      </c>
    </row>
    <row r="16" spans="2:18" x14ac:dyDescent="0.3">
      <c r="D16" s="10" t="s">
        <v>479</v>
      </c>
      <c r="E16" s="10"/>
      <c r="F16" s="10"/>
      <c r="G16" s="10"/>
      <c r="H16" s="10"/>
      <c r="I16" s="10" t="s">
        <v>480</v>
      </c>
      <c r="J16" s="10"/>
      <c r="K16" s="10"/>
      <c r="L16" s="10"/>
      <c r="M16" s="10" t="s">
        <v>481</v>
      </c>
      <c r="N16" s="10"/>
      <c r="O16" s="10"/>
      <c r="P16" s="10"/>
      <c r="Q16" s="10"/>
      <c r="R16" s="8"/>
    </row>
    <row r="17" spans="4:18" x14ac:dyDescent="0.3">
      <c r="D17" s="9">
        <f>TIME(9,15,0)</f>
        <v>0.38541666666666669</v>
      </c>
      <c r="E17" s="9">
        <f>TIME(9,18,0)</f>
        <v>0.38750000000000001</v>
      </c>
      <c r="F17" s="9">
        <v>0.39583333333333331</v>
      </c>
      <c r="G17" s="9">
        <v>0.40625</v>
      </c>
      <c r="H17" s="9">
        <v>0.41666666666666669</v>
      </c>
      <c r="I17" s="9">
        <v>0.4375</v>
      </c>
      <c r="J17" s="9">
        <v>0.45833333333333331</v>
      </c>
      <c r="K17" s="9">
        <v>0.47916666666666669</v>
      </c>
      <c r="L17" s="9">
        <v>0.5</v>
      </c>
      <c r="M17" s="9">
        <v>0.52083333333333337</v>
      </c>
      <c r="N17" s="9">
        <v>4.1666666666666664E-2</v>
      </c>
      <c r="O17" s="9">
        <v>6.25E-2</v>
      </c>
      <c r="P17" s="9">
        <v>8.3333333333333329E-2</v>
      </c>
      <c r="Q17" s="9">
        <v>0.10416666666666667</v>
      </c>
      <c r="R17" s="9">
        <v>0.125</v>
      </c>
    </row>
  </sheetData>
  <mergeCells count="4">
    <mergeCell ref="E5:E10"/>
    <mergeCell ref="D16:H16"/>
    <mergeCell ref="I16:L16"/>
    <mergeCell ref="M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- MidCap</vt:lpstr>
      <vt:lpstr>Range 100 to 1000</vt:lpstr>
      <vt:lpstr>Small Cap 100 to 1000</vt:lpstr>
      <vt:lpstr>Things to 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Narasimhaswamy Basavani</dc:creator>
  <cp:lastModifiedBy>Narasimhaswamy Basavani</cp:lastModifiedBy>
  <dcterms:created xsi:type="dcterms:W3CDTF">2026-09-09T14:12:59Z</dcterms:created>
  <dcterms:modified xsi:type="dcterms:W3CDTF">2026-09-09T14:12:59Z</dcterms:modified>
</cp:coreProperties>
</file>